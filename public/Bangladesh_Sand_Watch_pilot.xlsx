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71aea7e47de47e4" /></Relationships>
</file>

<file path=xl/workbook.xml><?xml version="1.0" encoding="utf-8"?>
<x:workbook xmlns:x="http://schemas.openxmlformats.org/spreadsheetml/2006/main">
  <x:sheets>
    <x:sheet xmlns:r="http://schemas.openxmlformats.org/officeDocument/2006/relationships" name="Pilot" sheetId="1" r:id="R2ee2f37f37be4207"/>
    <x:sheet xmlns:r="http://schemas.openxmlformats.org/officeDocument/2006/relationships" name="Records" sheetId="2" r:id="R4547f682965c426c"/>
    <x:sheet xmlns:r="http://schemas.openxmlformats.org/officeDocument/2006/relationships" name="Discovery" sheetId="3" r:id="R5231055b74c1498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mm/dd/yyyy"/>
  </x:numFmts>
  <x:fonts count="5">
    <x:font>
      <x:sz val="11"/>
      <x:name val="Carlito"/>
    </x:font>
    <x:font>
      <x:sz val="10"/>
      <x:color rgb="FF202124"/>
      <x:name val="Noto Sans Bengali"/>
    </x:font>
    <x:font>
      <x:b/>
      <x:sz val="15"/>
      <x:color rgb="FF202124"/>
      <x:name val="Noto Sans Bengali"/>
    </x:font>
    <x:font>
      <x:i/>
      <x:sz val="10"/>
      <x:color rgb="FF68717B"/>
      <x:name val="Noto Sans Bengali"/>
    </x:font>
    <x:font>
      <x:b/>
      <x:sz val="10"/>
      <x:color rgb="FFFFFFFF"/>
      <x:name val="Noto Sans Bengali"/>
    </x:font>
  </x:fonts>
  <x:fills count="4">
    <x:fill>
      <x:patternFill patternType="none"/>
    </x:fill>
    <x:fill>
      <x:patternFill patternType="gray125"/>
    </x:fill>
    <x:fill>
      <x:patternFill patternType="solid">
        <x:fgColor rgb="FF38434F"/>
      </x:patternFill>
    </x:fill>
    <x:fill>
      <x:patternFill patternType="solid">
        <x:fgColor rgb="FFFFF4D6"/>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dxfs count="3">
    <x:dxf>
      <x:font>
        <x:color rgb="FF9E2525"/>
      </x:font>
      <x:fill>
        <x:patternFill patternType="solid">
          <x:bgColor rgb="FFFFE5E5"/>
        </x:patternFill>
      </x:fill>
    </x:dxf>
    <x:dxf>
      <x:font>
        <x:color rgb="FF9E2525"/>
      </x:font>
      <x:fill>
        <x:patternFill patternType="solid">
          <x:bgColor rgb="FFFFE5E5"/>
        </x:patternFill>
      </x:fill>
    </x:dxf>
    <x:dxf>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1a098cf55684a17" /><Relationship Type="http://schemas.openxmlformats.org/officeDocument/2006/relationships/theme" Target="/xl/theme/theme1.xml" Id="R3c65cb3a2a6c48fc" /><Relationship Type="http://schemas.openxmlformats.org/officeDocument/2006/relationships/sharedStrings" Target="/xl/sharedStrings.xml" Id="Rcd341db44d6341cf" /><Relationship Type="http://schemas.openxmlformats.org/officeDocument/2006/relationships/worksheet" Target="/xl/worksheets/sheet1.xml" Id="R2ee2f37f37be4207" /><Relationship Type="http://schemas.openxmlformats.org/officeDocument/2006/relationships/worksheet" Target="/xl/worksheets/sheet2.xml" Id="R4547f682965c426c" /><Relationship Type="http://schemas.openxmlformats.org/officeDocument/2006/relationships/worksheet" Target="/xl/worksheets/sheet3.xml" Id="R5231055b74c14989" /></Relationships>
</file>

<file path=xl/tables/table1.xml><?xml version="1.0" encoding="utf-8"?>
<x:table xmlns:x="http://schemas.openxmlformats.org/spreadsheetml/2006/main" id="1" name="SandWatchRecords" displayName="SandWatchRecords" ref="A1:V18" headerRowCount="1" totalsRowCount="0" totalsRowShown="0">
  <x:autoFilter ref="A1:V18"/>
  <x:tableColumns count="22">
    <x:tableColumn id="1" name="Record ID"/>
    <x:tableColumn id="2" name="Type"/>
    <x:tableColumn id="3" name="Source"/>
    <x:tableColumn id="4" name="Original title"/>
    <x:tableColumn id="5" name="Source date"/>
    <x:tableColumn id="6" name="Date meaning"/>
    <x:tableColumn id="7" name="District"/>
    <x:tableColumn id="8" name="River / site"/>
    <x:tableColumn id="9" name="Material"/>
    <x:tableColumn id="10" name="Topics"/>
    <x:tableColumn id="11" name="Language"/>
    <x:tableColumn id="12" name="Summary English"/>
    <x:tableColumn id="13" name="Summary Bangla"/>
    <x:tableColumn id="14" name="Evidence read"/>
    <x:tableColumn id="15" name="Review flag"/>
    <x:tableColumn id="16" name="Your decision"/>
    <x:tableColumn id="17" name="Your notes"/>
    <x:tableColumn id="18" name="DOI / document ID"/>
    <x:tableColumn id="19" name="Other date"/>
    <x:tableColumn id="20" name="Source URL"/>
    <x:tableColumn id="21" name="Alternate / PDF URL"/>
    <x:tableColumn id="22" name="Record notes"/>
  </x:tableColumns>
  <x:tableStyleInfo name="TableStyleLight1" showFirstColumn="0" showLastColumn="0" showRowStripes="1" showColumnStripes="0"/>
</x:table>
</file>

<file path=xl/tables/table2.xml><?xml version="1.0" encoding="utf-8"?>
<x:table xmlns:x="http://schemas.openxmlformats.org/spreadsheetml/2006/main" id="2" name="DiscoveryLog" displayName="DiscoveryLog" ref="A1:H33" headerRowCount="1" totalsRowCount="0" totalsRowShown="0">
  <x:autoFilter ref="A1:H33"/>
  <x:tableColumns count="8">
    <x:tableColumn id="1" name="Query ID"/>
    <x:tableColumn id="2" name="Rank"/>
    <x:tableColumn id="3" name="Search title"/>
    <x:tableColumn id="4" name="Discovered URL"/>
    <x:tableColumn id="5" name="Disposition"/>
    <x:tableColumn id="6" name="Related record"/>
    <x:tableColumn id="7" name="Reason"/>
    <x:tableColumn id="8" name="Retrieval result"/>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1c4810d1db74628" /></Relationships>
</file>

<file path=xl/worksheets/_rels/sheet3.xml.rels>&#65279;<?xml version="1.0" encoding="utf-8"?><Relationships xmlns="http://schemas.openxmlformats.org/package/2006/relationships"><Relationship Type="http://schemas.openxmlformats.org/officeDocument/2006/relationships/table" Target="/xl/tables/table2.xml" Id="R02fa437ed17c49cf" /></Relationships>
</file>

<file path=xl/worksheets/sheet1.xml><?xml version="1.0" encoding="utf-8"?>
<x:worksheet xmlns:x="http://schemas.openxmlformats.org/spreadsheetml/2006/main">
  <x:sheetPr>
    <x:tabColor rgb="FF38434F"/>
  </x:sheetPr>
  <x:sheetViews>
    <x:sheetView showGridLines="0" workbookViewId="0"/>
  </x:sheetViews>
  <x:sheetFormatPr defaultRowHeight="15"/>
  <x:cols>
    <x:col min="1" max="1" width="34" hidden="0" customWidth="1"/>
    <x:col min="2" max="2" width="52" hidden="0" customWidth="1"/>
    <x:col min="3" max="3" width="3" hidden="0" customWidth="1"/>
    <x:col min="4" max="4" width="36" hidden="0" customWidth="1"/>
    <x:col min="5" max="5" width="58" hidden="0" customWidth="1"/>
  </x:cols>
  <x:sheetData>
    <x:row r="1">
      <x:c r="A1" s="2"/>
      <x:c r="B1" s="2"/>
      <x:c r="C1" s="2"/>
      <x:c r="D1" s="2"/>
      <x:c r="E1" s="2"/>
      <x:c r="F1" s="2"/>
      <x:c r="G1" s="2"/>
      <x:c r="H1" s="2"/>
      <x:c r="I1" s="2"/>
      <x:c r="J1" s="2"/>
      <x:c r="K1" s="2"/>
      <x:c r="L1" s="2"/>
      <x:c r="M1" s="2"/>
      <x:c r="N1" s="2"/>
      <x:c r="O1" s="2"/>
      <x:c r="P1" s="2"/>
      <x:c r="Q1" s="2"/>
      <x:c r="R1" s="2"/>
      <x:c r="S1" s="2"/>
      <x:c r="T1" s="2"/>
      <x:c r="U1" s="2"/>
      <x:c r="V1" s="2"/>
    </x:row>
    <x:row r="2">
      <x:c r="A2" s="3" t="str">
        <x:v>Bangladesh Sand Watch collection pilot</x:v>
      </x:c>
      <x:c r="B2" s="2"/>
      <x:c r="C2" s="2"/>
      <x:c r="D2" s="2"/>
      <x:c r="E2" s="2"/>
      <x:c r="F2" s="2"/>
      <x:c r="G2" s="2"/>
      <x:c r="H2" s="2"/>
      <x:c r="I2" s="2"/>
      <x:c r="J2" s="2"/>
      <x:c r="K2" s="2"/>
      <x:c r="L2" s="2"/>
      <x:c r="M2" s="2"/>
      <x:c r="N2" s="2"/>
      <x:c r="O2" s="2"/>
      <x:c r="P2" s="2"/>
      <x:c r="Q2" s="2"/>
      <x:c r="R2" s="2"/>
      <x:c r="S2" s="2"/>
      <x:c r="T2" s="2"/>
      <x:c r="U2" s="2"/>
      <x:c r="V2" s="2"/>
    </x:row>
    <x:row r="3">
      <x:c r="A3" s="4" t="str">
        <x:v>As of October 11, 2026. Historical and current examples; bounded sample.</x:v>
      </x:c>
      <x:c r="B3" s="2"/>
      <x:c r="C3" s="2"/>
      <x:c r="D3" s="2"/>
      <x:c r="E3" s="2"/>
      <x:c r="F3" s="2"/>
      <x:c r="G3" s="2"/>
      <x:c r="H3" s="2"/>
      <x:c r="I3" s="2"/>
      <x:c r="J3" s="2"/>
      <x:c r="K3" s="2"/>
      <x:c r="L3" s="2"/>
      <x:c r="M3" s="2"/>
      <x:c r="N3" s="2"/>
      <x:c r="O3" s="2"/>
      <x:c r="P3" s="2"/>
      <x:c r="Q3" s="2"/>
      <x:c r="R3" s="2"/>
      <x:c r="S3" s="2"/>
      <x:c r="T3" s="2"/>
      <x:c r="U3" s="2"/>
      <x:c r="V3" s="2"/>
    </x:row>
    <x:row r="4">
      <x:c r="A4" s="2"/>
      <x:c r="B4" s="2"/>
      <x:c r="C4" s="2"/>
      <x:c r="D4" s="2"/>
      <x:c r="E4" s="2"/>
      <x:c r="F4" s="2"/>
      <x:c r="G4" s="2"/>
      <x:c r="H4" s="2"/>
      <x:c r="I4" s="2"/>
      <x:c r="J4" s="2"/>
      <x:c r="K4" s="2"/>
      <x:c r="L4" s="2"/>
      <x:c r="M4" s="2"/>
      <x:c r="N4" s="2"/>
      <x:c r="O4" s="2"/>
      <x:c r="P4" s="2"/>
      <x:c r="Q4" s="2"/>
      <x:c r="R4" s="2"/>
      <x:c r="S4" s="2"/>
      <x:c r="T4" s="2"/>
      <x:c r="U4" s="2"/>
      <x:c r="V4" s="2"/>
    </x:row>
    <x:row r="5" ht="34" customHeight="1">
      <x:c r="A5" s="8" t="str">
        <x:v>Measure</x:v>
      </x:c>
      <x:c r="B5" s="8" t="str">
        <x:v>Result</x:v>
      </x:c>
      <x:c r="C5" s="2"/>
      <x:c r="D5" s="8" t="str">
        <x:v>Finding</x:v>
      </x:c>
      <x:c r="E5" s="8" t="str">
        <x:v>Action</x:v>
      </x:c>
      <x:c r="F5" s="2"/>
      <x:c r="G5" s="2"/>
      <x:c r="H5" s="2"/>
      <x:c r="I5" s="2"/>
      <x:c r="J5" s="2"/>
      <x:c r="K5" s="2"/>
      <x:c r="L5" s="2"/>
      <x:c r="M5" s="2"/>
      <x:c r="N5" s="2"/>
      <x:c r="O5" s="2"/>
      <x:c r="P5" s="2"/>
      <x:c r="Q5" s="2"/>
      <x:c r="R5" s="2"/>
      <x:c r="S5" s="2"/>
      <x:c r="T5" s="2"/>
      <x:c r="U5" s="2"/>
      <x:c r="V5" s="2"/>
    </x:row>
    <x:row r="6" ht="52" customHeight="1">
      <x:c r="A6" s="2" t="str">
        <x:v>Seed records</x:v>
      </x:c>
      <x:c r="B6" s="9" t="n">
        <x:f>COUNTA(Records!A2:A18)</x:f>
        <x:v>17</x:v>
      </x:c>
      <x:c r="C6" s="2"/>
      <x:c r="D6" s="10" t="str">
        <x:v>Bangla and English article text is collectable</x:v>
      </x:c>
      <x:c r="E6" s="10" t="str">
        <x:v>Clean article bodies and separate site-header dates from publication dates.</x:v>
      </x:c>
      <x:c r="F6" s="2"/>
      <x:c r="G6" s="2"/>
      <x:c r="H6" s="2"/>
      <x:c r="I6" s="2"/>
      <x:c r="J6" s="2"/>
      <x:c r="K6" s="2"/>
      <x:c r="L6" s="2"/>
      <x:c r="M6" s="2"/>
      <x:c r="N6" s="2"/>
      <x:c r="O6" s="2"/>
      <x:c r="P6" s="2"/>
      <x:c r="Q6" s="2"/>
      <x:c r="R6" s="2"/>
      <x:c r="S6" s="2"/>
      <x:c r="T6" s="2"/>
      <x:c r="U6" s="2"/>
      <x:c r="V6" s="2"/>
    </x:row>
    <x:row r="7" ht="52" customHeight="1">
      <x:c r="A7" s="2" t="str">
        <x:v>News, editorial and contextual records</x:v>
      </x:c>
      <x:c r="B7" s="9" t="n">
        <x:f>COUNTIFS(Records!B2:B18,"News")+COUNTIFS(Records!B2:B18,"Editorial")+COUNTIFS(Records!B2:B18,"Context")</x:f>
        <x:v>9</x:v>
      </x:c>
      <x:c r="C7" s="2"/>
      <x:c r="D7" s="10" t="str">
        <x:v>Government pages can return HTTP 200 with no notice</x:v>
      </x:c>
      <x:c r="E7" s="10" t="str">
        <x:v>Require title/body checks. Retry delayed rendering before logging retrieval failure.</x:v>
      </x:c>
      <x:c r="F7" s="2"/>
      <x:c r="G7" s="2"/>
      <x:c r="H7" s="2"/>
      <x:c r="I7" s="2"/>
      <x:c r="J7" s="2"/>
      <x:c r="K7" s="2"/>
      <x:c r="L7" s="2"/>
      <x:c r="M7" s="2"/>
      <x:c r="N7" s="2"/>
      <x:c r="O7" s="2"/>
      <x:c r="P7" s="2"/>
      <x:c r="Q7" s="2"/>
      <x:c r="R7" s="2"/>
      <x:c r="S7" s="2"/>
      <x:c r="T7" s="2"/>
      <x:c r="U7" s="2"/>
      <x:c r="V7" s="2"/>
    </x:row>
    <x:row r="8" ht="52" customHeight="1">
      <x:c r="A8" s="2" t="str">
        <x:v>Research articles</x:v>
      </x:c>
      <x:c r="B8" s="9" t="n">
        <x:f>COUNTIFS(Records!B2:B18,"Research")</x:f>
        <x:v>3</x:v>
      </x:c>
      <x:c r="C8" s="2"/>
      <x:c r="D8" s="10" t="str">
        <x:v>Bengali PDF text contains serious errors</x:v>
      </x:c>
      <x:c r="E8" s="10" t="str">
        <x:v>Review scans before using deadlines, lease prices, names, or legal wording.</x:v>
      </x:c>
      <x:c r="F8" s="2"/>
      <x:c r="G8" s="2"/>
      <x:c r="H8" s="2"/>
      <x:c r="I8" s="2"/>
      <x:c r="J8" s="2"/>
      <x:c r="K8" s="2"/>
      <x:c r="L8" s="2"/>
      <x:c r="M8" s="2"/>
      <x:c r="N8" s="2"/>
      <x:c r="O8" s="2"/>
      <x:c r="P8" s="2"/>
      <x:c r="Q8" s="2"/>
      <x:c r="R8" s="2"/>
      <x:c r="S8" s="2"/>
      <x:c r="T8" s="2"/>
      <x:c r="U8" s="2"/>
      <x:c r="V8" s="2"/>
    </x:row>
    <x:row r="9" ht="52" customHeight="1">
      <x:c r="A9" s="2" t="str">
        <x:v>Official legal and lease records</x:v>
      </x:c>
      <x:c r="B9" s="9" t="n">
        <x:f>COUNTIFS(Records!B2:B18,"Law")+COUNTIFS(Records!B2:B18,"Rules")+COUNTIFS(Records!B2:B18,"Lease")</x:f>
        <x:v>4</x:v>
      </x:c>
      <x:c r="C9" s="2"/>
      <x:c r="D9" s="10" t="str">
        <x:v>Equivalent records recur across sources</x:v>
      </x:c>
      <x:c r="E9" s="10" t="str">
        <x:v>Deduplicate by canonical URL and DOI. Retain alternate source links.</x:v>
      </x:c>
      <x:c r="F9" s="2"/>
      <x:c r="G9" s="2"/>
      <x:c r="H9" s="2"/>
      <x:c r="I9" s="2"/>
      <x:c r="J9" s="2"/>
      <x:c r="K9" s="2"/>
      <x:c r="L9" s="2"/>
      <x:c r="M9" s="2"/>
      <x:c r="N9" s="2"/>
      <x:c r="O9" s="2"/>
      <x:c r="P9" s="2"/>
      <x:c r="Q9" s="2"/>
      <x:c r="R9" s="2"/>
      <x:c r="S9" s="2"/>
      <x:c r="T9" s="2"/>
      <x:c r="U9" s="2"/>
      <x:c r="V9" s="2"/>
    </x:row>
    <x:row r="10" ht="52" customHeight="1">
      <x:c r="A10" s="2" t="str">
        <x:v>Research project pages</x:v>
      </x:c>
      <x:c r="B10" s="9" t="n">
        <x:f>COUNTIFS(Records!B2:B18,"Project")</x:f>
        <x:v>1</x:v>
      </x:c>
      <x:c r="C10" s="2"/>
      <x:c r="D10" s="10" t="str">
        <x:v>One river name does not identify one event</x:v>
      </x:c>
      <x:c r="E10" s="10" t="str">
        <x:v>Keep Teesta and Buri Teesta reports separate unless time and place support a match.</x:v>
      </x:c>
      <x:c r="F10" s="2"/>
      <x:c r="G10" s="2"/>
      <x:c r="H10" s="2"/>
      <x:c r="I10" s="2"/>
      <x:c r="J10" s="2"/>
      <x:c r="K10" s="2"/>
      <x:c r="L10" s="2"/>
      <x:c r="M10" s="2"/>
      <x:c r="N10" s="2"/>
      <x:c r="O10" s="2"/>
      <x:c r="P10" s="2"/>
      <x:c r="Q10" s="2"/>
      <x:c r="R10" s="2"/>
      <x:c r="S10" s="2"/>
      <x:c r="T10" s="2"/>
      <x:c r="U10" s="2"/>
      <x:c r="V10" s="2"/>
    </x:row>
    <x:row r="11" ht="52" customHeight="1">
      <x:c r="A11" s="2" t="str">
        <x:v>Search queries</x:v>
      </x:c>
      <x:c r="B11" s="9" t="n">
        <x:v>8</x:v>
      </x:c>
      <x:c r="C11" s="2"/>
      <x:c r="D11" s="10" t="str">
        <x:v>News reports and official instruments differ</x:v>
      </x:c>
      <x:c r="E11" s="10" t="str">
        <x:v>Label opinions, allegations, reported court orders, laws, drafts, and lease notices.</x:v>
      </x:c>
      <x:c r="F11" s="2"/>
      <x:c r="G11" s="2"/>
      <x:c r="H11" s="2"/>
      <x:c r="I11" s="2"/>
      <x:c r="J11" s="2"/>
      <x:c r="K11" s="2"/>
      <x:c r="L11" s="2"/>
      <x:c r="M11" s="2"/>
      <x:c r="N11" s="2"/>
      <x:c r="O11" s="2"/>
      <x:c r="P11" s="2"/>
      <x:c r="Q11" s="2"/>
      <x:c r="R11" s="2"/>
      <x:c r="S11" s="2"/>
      <x:c r="T11" s="2"/>
      <x:c r="U11" s="2"/>
      <x:c r="V11" s="2"/>
    </x:row>
    <x:row r="12" ht="52" customHeight="1">
      <x:c r="A12" s="2" t="str">
        <x:v>Search hits</x:v>
      </x:c>
      <x:c r="B12" s="9" t="n">
        <x:f>COUNTA(Discovery!A2:A33)</x:f>
        <x:v>32</x:v>
      </x:c>
      <x:c r="C12" s="2"/>
      <x:c r="D12" s="10" t="str">
        <x:v>Coverage completeness is not measured</x:v>
      </x:c>
      <x:c r="E12" s="10" t="str">
        <x:v>Maintain source inventory, check failures, and review known missed reports.</x:v>
      </x:c>
      <x:c r="F12" s="2"/>
      <x:c r="G12" s="2"/>
      <x:c r="H12" s="2"/>
      <x:c r="I12" s="2"/>
      <x:c r="J12" s="2"/>
      <x:c r="K12" s="2"/>
      <x:c r="L12" s="2"/>
      <x:c r="M12" s="2"/>
      <x:c r="N12" s="2"/>
      <x:c r="O12" s="2"/>
      <x:c r="P12" s="2"/>
      <x:c r="Q12" s="2"/>
      <x:c r="R12" s="2"/>
      <x:c r="S12" s="2"/>
      <x:c r="T12" s="2"/>
      <x:c r="U12" s="2"/>
      <x:c r="V12" s="2"/>
    </x:row>
    <x:row r="13" ht="52" customHeight="1">
      <x:c r="A13" s="2" t="str">
        <x:v>Repeated URLs</x:v>
      </x:c>
      <x:c r="B13" s="9" t="n">
        <x:f>COUNTIFS(Discovery!E2:E33,"Repeated URL")</x:f>
        <x:v>2</x:v>
      </x:c>
      <x:c r="C13" s="2"/>
      <x:c r="D13" s="10" t="str">
        <x:v>Reviewer time is not measured</x:v>
      </x:c>
      <x:c r="E13" s="10" t="str">
        <x:v>Time the next review batch before estimating a weekly workload.</x:v>
      </x:c>
      <x:c r="F13" s="2"/>
      <x:c r="G13" s="2"/>
      <x:c r="H13" s="2"/>
      <x:c r="I13" s="2"/>
      <x:c r="J13" s="2"/>
      <x:c r="K13" s="2"/>
      <x:c r="L13" s="2"/>
      <x:c r="M13" s="2"/>
      <x:c r="N13" s="2"/>
      <x:c r="O13" s="2"/>
      <x:c r="P13" s="2"/>
      <x:c r="Q13" s="2"/>
      <x:c r="R13" s="2"/>
      <x:c r="S13" s="2"/>
      <x:c r="T13" s="2"/>
      <x:c r="U13" s="2"/>
      <x:c r="V13" s="2"/>
    </x:row>
    <x:row r="14">
      <x:c r="A14" s="2" t="str">
        <x:v>Duplicate scholarly work</x:v>
      </x:c>
      <x:c r="B14" s="9" t="n">
        <x:f>COUNTIFS(Discovery!E2:E33,"Duplicate work")</x:f>
        <x:v>1</x:v>
      </x:c>
      <x:c r="C14" s="2"/>
      <x:c r="D14" s="2"/>
      <x:c r="E14" s="2"/>
      <x:c r="F14" s="2"/>
      <x:c r="G14" s="2"/>
      <x:c r="H14" s="2"/>
      <x:c r="I14" s="2"/>
      <x:c r="J14" s="2"/>
      <x:c r="K14" s="2"/>
      <x:c r="L14" s="2"/>
      <x:c r="M14" s="2"/>
      <x:c r="N14" s="2"/>
      <x:c r="O14" s="2"/>
      <x:c r="P14" s="2"/>
      <x:c r="Q14" s="2"/>
      <x:c r="R14" s="2"/>
      <x:c r="S14" s="2"/>
      <x:c r="T14" s="2"/>
      <x:c r="U14" s="2"/>
      <x:c r="V14" s="2"/>
    </x:row>
    <x:row r="15" ht="34" customHeight="1">
      <x:c r="A15" s="2" t="str">
        <x:v>Initial source pages examined</x:v>
      </x:c>
      <x:c r="B15" s="9" t="n">
        <x:v>22</x:v>
      </x:c>
      <x:c r="C15" s="2"/>
      <x:c r="D15" s="8" t="str">
        <x:v>Next implementation</x:v>
      </x:c>
      <x:c r="E15" s="8" t="str">
        <x:v>Proposed scope</x:v>
      </x:c>
      <x:c r="F15" s="2"/>
      <x:c r="G15" s="2"/>
      <x:c r="H15" s="2"/>
      <x:c r="I15" s="2"/>
      <x:c r="J15" s="2"/>
      <x:c r="K15" s="2"/>
      <x:c r="L15" s="2"/>
      <x:c r="M15" s="2"/>
      <x:c r="N15" s="2"/>
      <x:c r="O15" s="2"/>
      <x:c r="P15" s="2"/>
      <x:c r="Q15" s="2"/>
      <x:c r="R15" s="2"/>
      <x:c r="S15" s="2"/>
      <x:c r="T15" s="2"/>
      <x:c r="U15" s="2"/>
      <x:c r="V15" s="2"/>
    </x:row>
    <x:row r="16" ht="52" customHeight="1">
      <x:c r="A16" s="2" t="str">
        <x:v>Initial pages with usable bodies</x:v>
      </x:c>
      <x:c r="B16" s="9" t="n">
        <x:v>15</x:v>
      </x:c>
      <x:c r="C16" s="2"/>
      <x:c r="D16" s="10" t="str">
        <x:v>Source inventory</x:v>
      </x:c>
      <x:c r="E16" s="10" t="str">
        <x:v>15–20 national/regional news outlets, selected government portals, research metadata.</x:v>
      </x:c>
      <x:c r="F16" s="2"/>
      <x:c r="G16" s="2"/>
      <x:c r="H16" s="2"/>
      <x:c r="I16" s="2"/>
      <x:c r="J16" s="2"/>
      <x:c r="K16" s="2"/>
      <x:c r="L16" s="2"/>
      <x:c r="M16" s="2"/>
      <x:c r="N16" s="2"/>
      <x:c r="O16" s="2"/>
      <x:c r="P16" s="2"/>
      <x:c r="Q16" s="2"/>
      <x:c r="R16" s="2"/>
      <x:c r="S16" s="2"/>
      <x:c r="T16" s="2"/>
      <x:c r="U16" s="2"/>
      <x:c r="V16" s="2"/>
    </x:row>
    <x:row r="17" ht="52" customHeight="1">
      <x:c r="A17" s="2" t="str">
        <x:v>Recovered sources</x:v>
      </x:c>
      <x:c r="B17" s="9" t="n">
        <x:v>3</x:v>
      </x:c>
      <x:c r="C17" s="2"/>
      <x:c r="D17" s="10" t="str">
        <x:v>Collection</x:v>
      </x:c>
      <x:c r="E17" s="10" t="str">
        <x:v>Daily web/RSS discovery and page collection; store originals, dates, links, and content status.</x:v>
      </x:c>
      <x:c r="F17" s="2"/>
      <x:c r="G17" s="2"/>
      <x:c r="H17" s="2"/>
      <x:c r="I17" s="2"/>
      <x:c r="J17" s="2"/>
      <x:c r="K17" s="2"/>
      <x:c r="L17" s="2"/>
      <x:c r="M17" s="2"/>
      <x:c r="N17" s="2"/>
      <x:c r="O17" s="2"/>
      <x:c r="P17" s="2"/>
      <x:c r="Q17" s="2"/>
      <x:c r="R17" s="2"/>
      <x:c r="S17" s="2"/>
      <x:c r="T17" s="2"/>
      <x:c r="U17" s="2"/>
      <x:c r="V17" s="2"/>
    </x:row>
    <x:row r="18" ht="52" customHeight="1">
      <x:c r="A18" s="2" t="str">
        <x:v>Unresolved page bodies</x:v>
      </x:c>
      <x:c r="B18" s="9" t="n">
        <x:v>4</x:v>
      </x:c>
      <x:c r="C18" s="2"/>
      <x:c r="D18" s="10" t="str">
        <x:v>Processing</x:v>
      </x:c>
      <x:c r="E18" s="10" t="str">
        <x:v>Normalize place aliases; extract source-attributed claims; propose English and Bangla summaries.</x:v>
      </x:c>
      <x:c r="F18" s="2"/>
      <x:c r="G18" s="2"/>
      <x:c r="H18" s="2"/>
      <x:c r="I18" s="2"/>
      <x:c r="J18" s="2"/>
      <x:c r="K18" s="2"/>
      <x:c r="L18" s="2"/>
      <x:c r="M18" s="2"/>
      <x:c r="N18" s="2"/>
      <x:c r="O18" s="2"/>
      <x:c r="P18" s="2"/>
      <x:c r="Q18" s="2"/>
      <x:c r="R18" s="2"/>
      <x:c r="S18" s="2"/>
      <x:c r="T18" s="2"/>
      <x:c r="U18" s="2"/>
      <x:c r="V18" s="2"/>
    </x:row>
    <x:row r="19" ht="52" customHeight="1">
      <x:c r="A19" s="2" t="str">
        <x:v>PDF pages parsed</x:v>
      </x:c>
      <x:c r="B19" s="9" t="n">
        <x:v>6</x:v>
      </x:c>
      <x:c r="C19" s="2"/>
      <x:c r="D19" s="10" t="str">
        <x:v>Review</x:v>
      </x:c>
      <x:c r="E19" s="10" t="str">
        <x:v>Use a queue for uncertain locations, allegations, official documents, and PDF extraction.</x:v>
      </x:c>
      <x:c r="F19" s="2"/>
      <x:c r="G19" s="2"/>
      <x:c r="H19" s="2"/>
      <x:c r="I19" s="2"/>
      <x:c r="J19" s="2"/>
      <x:c r="K19" s="2"/>
      <x:c r="L19" s="2"/>
      <x:c r="M19" s="2"/>
      <x:c r="N19" s="2"/>
      <x:c r="O19" s="2"/>
      <x:c r="P19" s="2"/>
      <x:c r="Q19" s="2"/>
      <x:c r="R19" s="2"/>
      <x:c r="S19" s="2"/>
      <x:c r="T19" s="2"/>
      <x:c r="U19" s="2"/>
      <x:c r="V19" s="2"/>
    </x:row>
    <x:row r="20" ht="52" customHeight="1">
      <x:c r="A20" s="2" t="str">
        <x:v>Reported credits this run</x:v>
      </x:c>
      <x:c r="B20" s="9" t="n">
        <x:v>44</x:v>
      </x:c>
      <x:c r="C20" s="2"/>
      <x:c r="D20" s="10" t="str">
        <x:v>Website</x:v>
      </x:c>
      <x:c r="E20" s="10" t="str">
        <x:v>Search and filters for source type, date, district, river, material, topic, and review status.</x:v>
      </x:c>
      <x:c r="F20" s="2"/>
      <x:c r="G20" s="2"/>
      <x:c r="H20" s="2"/>
      <x:c r="I20" s="2"/>
      <x:c r="J20" s="2"/>
      <x:c r="K20" s="2"/>
      <x:c r="L20" s="2"/>
      <x:c r="M20" s="2"/>
      <x:c r="N20" s="2"/>
      <x:c r="O20" s="2"/>
      <x:c r="P20" s="2"/>
      <x:c r="Q20" s="2"/>
      <x:c r="R20" s="2"/>
      <x:c r="S20" s="2"/>
      <x:c r="T20" s="2"/>
      <x:c r="U20" s="2"/>
      <x:c r="V20" s="2"/>
    </x:row>
    <x:row r="21" ht="52" customHeight="1">
      <x:c r="A21" s="2" t="str">
        <x:v>Your accepted records</x:v>
      </x:c>
      <x:c r="B21" s="9" t="n">
        <x:f>COUNTIFS(Records!P2:P18,"Accept")</x:f>
        <x:v>0</x:v>
      </x:c>
      <x:c r="C21" s="2"/>
      <x:c r="D21" s="10" t="str">
        <x:v>Coverage checks</x:v>
      </x:c>
      <x:c r="E21" s="10" t="str">
        <x:v>Log source checks and failures; never treat missing reports as absence of extraction.</x:v>
      </x:c>
      <x:c r="F21" s="2"/>
      <x:c r="G21" s="2"/>
      <x:c r="H21" s="2"/>
      <x:c r="I21" s="2"/>
      <x:c r="J21" s="2"/>
      <x:c r="K21" s="2"/>
      <x:c r="L21" s="2"/>
      <x:c r="M21" s="2"/>
      <x:c r="N21" s="2"/>
      <x:c r="O21" s="2"/>
      <x:c r="P21" s="2"/>
      <x:c r="Q21" s="2"/>
      <x:c r="R21" s="2"/>
      <x:c r="S21" s="2"/>
      <x:c r="T21" s="2"/>
      <x:c r="U21" s="2"/>
      <x:c r="V21" s="2"/>
    </x:row>
    <x:row r="22">
      <x:c r="A22" s="2" t="str">
        <x:v>Your pending decisions</x:v>
      </x:c>
      <x:c r="B22" s="9" t="n">
        <x:f>COUNTIFS(Records!P2:P18,"Pending")</x:f>
        <x:v>17</x:v>
      </x:c>
      <x:c r="C22" s="2"/>
      <x:c r="D22" s="2"/>
      <x:c r="E22" s="2"/>
      <x:c r="F22" s="2"/>
      <x:c r="G22" s="2"/>
      <x:c r="H22" s="2"/>
      <x:c r="I22" s="2"/>
      <x:c r="J22" s="2"/>
      <x:c r="K22" s="2"/>
      <x:c r="L22" s="2"/>
      <x:c r="M22" s="2"/>
      <x:c r="N22" s="2"/>
      <x:c r="O22" s="2"/>
      <x:c r="P22" s="2"/>
      <x:c r="Q22" s="2"/>
      <x:c r="R22" s="2"/>
      <x:c r="S22" s="2"/>
      <x:c r="T22" s="2"/>
      <x:c r="U22" s="2"/>
      <x:c r="V22" s="2"/>
    </x:row>
    <x:row r="23">
      <x:c r="A23" s="2"/>
      <x:c r="B23" s="2"/>
      <x:c r="C23" s="2"/>
      <x:c r="D23" s="2"/>
      <x:c r="E23" s="2"/>
      <x:c r="F23" s="2"/>
      <x:c r="G23" s="2"/>
      <x:c r="H23" s="2"/>
      <x:c r="I23" s="2"/>
      <x:c r="J23" s="2"/>
      <x:c r="K23" s="2"/>
      <x:c r="L23" s="2"/>
      <x:c r="M23" s="2"/>
      <x:c r="N23" s="2"/>
      <x:c r="O23" s="2"/>
      <x:c r="P23" s="2"/>
      <x:c r="Q23" s="2"/>
      <x:c r="R23" s="2"/>
      <x:c r="S23" s="2"/>
      <x:c r="T23" s="2"/>
      <x:c r="U23" s="2"/>
      <x:c r="V23" s="2"/>
    </x:row>
    <x:row r="24">
      <x:c r="A24" s="2"/>
      <x:c r="B24" s="2"/>
      <x:c r="C24" s="2"/>
      <x:c r="D24" s="2"/>
      <x:c r="E24" s="2"/>
      <x:c r="F24" s="2"/>
      <x:c r="G24" s="2"/>
      <x:c r="H24" s="2"/>
      <x:c r="I24" s="2"/>
      <x:c r="J24" s="2"/>
      <x:c r="K24" s="2"/>
      <x:c r="L24" s="2"/>
      <x:c r="M24" s="2"/>
      <x:c r="N24" s="2"/>
      <x:c r="O24" s="2"/>
      <x:c r="P24" s="2"/>
      <x:c r="Q24" s="2"/>
      <x:c r="R24" s="2"/>
      <x:c r="S24" s="2"/>
      <x:c r="T24" s="2"/>
      <x:c r="U24" s="2"/>
      <x:c r="V24" s="2"/>
    </x:row>
    <x:row r="25" ht="34" customHeight="1">
      <x:c r="A25" s="8" t="str">
        <x:v>Method and limits</x:v>
      </x:c>
      <x:c r="B25" s="8" t="str">
        <x:v>Details</x:v>
      </x:c>
      <x:c r="C25" s="2"/>
      <x:c r="D25" s="2"/>
      <x:c r="E25" s="2"/>
      <x:c r="F25" s="2"/>
      <x:c r="G25" s="2"/>
      <x:c r="H25" s="2"/>
      <x:c r="I25" s="2"/>
      <x:c r="J25" s="2"/>
      <x:c r="K25" s="2"/>
      <x:c r="L25" s="2"/>
      <x:c r="M25" s="2"/>
      <x:c r="N25" s="2"/>
      <x:c r="O25" s="2"/>
      <x:c r="P25" s="2"/>
      <x:c r="Q25" s="2"/>
      <x:c r="R25" s="2"/>
      <x:c r="S25" s="2"/>
      <x:c r="T25" s="2"/>
      <x:c r="U25" s="2"/>
      <x:c r="V25" s="2"/>
    </x:row>
    <x:row r="26" ht="64" customHeight="1">
      <x:c r="A26" s="10" t="str">
        <x:v>Sample</x:v>
      </x:c>
      <x:c r="B26" s="10" t="str">
        <x:v>Eight searches returned 32 hits, including two repeated URLs. Sources were selected to test different content types, not to estimate national prevalence.</x:v>
      </x:c>
      <x:c r="C26" s="2"/>
      <x:c r="D26" s="2"/>
      <x:c r="E26" s="2"/>
      <x:c r="F26" s="2"/>
      <x:c r="G26" s="2"/>
      <x:c r="H26" s="2"/>
      <x:c r="I26" s="2"/>
      <x:c r="J26" s="2"/>
      <x:c r="K26" s="2"/>
      <x:c r="L26" s="2"/>
      <x:c r="M26" s="2"/>
      <x:c r="N26" s="2"/>
      <x:c r="O26" s="2"/>
      <x:c r="P26" s="2"/>
      <x:c r="Q26" s="2"/>
      <x:c r="R26" s="2"/>
      <x:c r="S26" s="2"/>
      <x:c r="T26" s="2"/>
      <x:c r="U26" s="2"/>
      <x:c r="V26" s="2"/>
    </x:row>
    <x:row r="27" ht="64" customHeight="1">
      <x:c r="A27" s="10" t="str">
        <x:v>Retrieval count</x:v>
      </x:c>
      <x:c r="B27" s="10" t="str">
        <x:v>Nineteen new initial page fetches plus three earlier tests. Three bounded recoveries added readable bodies. Four initial bodies remain unresolved.</x:v>
      </x:c>
      <x:c r="C27" s="2"/>
      <x:c r="D27" s="2"/>
      <x:c r="E27" s="2"/>
      <x:c r="F27" s="2"/>
      <x:c r="G27" s="2"/>
      <x:c r="H27" s="2"/>
      <x:c r="I27" s="2"/>
      <x:c r="J27" s="2"/>
      <x:c r="K27" s="2"/>
      <x:c r="L27" s="2"/>
      <x:c r="M27" s="2"/>
      <x:c r="N27" s="2"/>
      <x:c r="O27" s="2"/>
      <x:c r="P27" s="2"/>
      <x:c r="Q27" s="2"/>
      <x:c r="R27" s="2"/>
      <x:c r="S27" s="2"/>
      <x:c r="T27" s="2"/>
      <x:c r="U27" s="2"/>
      <x:c r="V27" s="2"/>
    </x:row>
    <x:row r="28" ht="64" customHeight="1">
      <x:c r="A28" s="10" t="str">
        <x:v>PDF scope</x:v>
      </x:c>
      <x:c r="B28" s="10" t="str">
        <x:v>2025 rules: first 4 of 35 pages. Sunamganj tender: first 2 of 4 pages. This is a parsing test, not a complete document review.</x:v>
      </x:c>
      <x:c r="C28" s="2"/>
      <x:c r="D28" s="2"/>
      <x:c r="E28" s="2"/>
      <x:c r="F28" s="2"/>
      <x:c r="G28" s="2"/>
      <x:c r="H28" s="2"/>
      <x:c r="I28" s="2"/>
      <x:c r="J28" s="2"/>
      <x:c r="K28" s="2"/>
      <x:c r="L28" s="2"/>
      <x:c r="M28" s="2"/>
      <x:c r="N28" s="2"/>
      <x:c r="O28" s="2"/>
      <x:c r="P28" s="2"/>
      <x:c r="Q28" s="2"/>
      <x:c r="R28" s="2"/>
      <x:c r="S28" s="2"/>
      <x:c r="T28" s="2"/>
      <x:c r="U28" s="2"/>
      <x:c r="V28" s="2"/>
    </x:row>
    <x:row r="29" ht="64" customHeight="1">
      <x:c r="A29" s="10" t="str">
        <x:v>Summaries</x:v>
      </x:c>
      <x:c r="B29" s="10" t="str">
        <x:v>Authored paraphrases based on the listed evidence. English and Bangla summaries carry the same claim strength. Native-language editorial review is still pending.</x:v>
      </x:c>
      <x:c r="C29" s="2"/>
      <x:c r="D29" s="2"/>
      <x:c r="E29" s="2"/>
      <x:c r="F29" s="2"/>
      <x:c r="G29" s="2"/>
      <x:c r="H29" s="2"/>
      <x:c r="I29" s="2"/>
      <x:c r="J29" s="2"/>
      <x:c r="K29" s="2"/>
      <x:c r="L29" s="2"/>
      <x:c r="M29" s="2"/>
      <x:c r="N29" s="2"/>
      <x:c r="O29" s="2"/>
      <x:c r="P29" s="2"/>
      <x:c r="Q29" s="2"/>
      <x:c r="R29" s="2"/>
      <x:c r="S29" s="2"/>
      <x:c r="T29" s="2"/>
      <x:c r="U29" s="2"/>
      <x:c r="V29" s="2"/>
    </x:row>
    <x:row r="30" ht="64" customHeight="1">
      <x:c r="A30" s="10" t="str">
        <x:v>Duplicates</x:v>
      </x:c>
      <x:c r="B30" s="10" t="str">
        <x:v>One DOI-matched repository duplicate was merged. Exact repeated search URLs were logged. A second rules listing remains an unconfirmed possible mirror.</x:v>
      </x:c>
      <x:c r="C30" s="2"/>
      <x:c r="D30" s="2"/>
      <x:c r="E30" s="2"/>
      <x:c r="F30" s="2"/>
      <x:c r="G30" s="2"/>
      <x:c r="H30" s="2"/>
      <x:c r="I30" s="2"/>
      <x:c r="J30" s="2"/>
      <x:c r="K30" s="2"/>
      <x:c r="L30" s="2"/>
      <x:c r="M30" s="2"/>
      <x:c r="N30" s="2"/>
      <x:c r="O30" s="2"/>
      <x:c r="P30" s="2"/>
      <x:c r="Q30" s="2"/>
      <x:c r="R30" s="2"/>
      <x:c r="S30" s="2"/>
      <x:c r="T30" s="2"/>
      <x:c r="U30" s="2"/>
      <x:c r="V30" s="2"/>
    </x:row>
    <x:row r="31" ht="64" customHeight="1">
      <x:c r="A31" s="10" t="str">
        <x:v>Your review</x:v>
      </x:c>
      <x:c r="B31" s="10" t="str">
        <x:v>Records column P is editable: Pending, Accept, Revise, Reject. Use column Q for corrections. Record-specific review flags explain outstanding checks.</x:v>
      </x:c>
      <x:c r="C31" s="2"/>
      <x:c r="D31" s="2"/>
      <x:c r="E31" s="2"/>
      <x:c r="F31" s="2"/>
      <x:c r="G31" s="2"/>
      <x:c r="H31" s="2"/>
      <x:c r="I31" s="2"/>
      <x:c r="J31" s="2"/>
      <x:c r="K31" s="2"/>
      <x:c r="L31" s="2"/>
      <x:c r="M31" s="2"/>
      <x:c r="N31" s="2"/>
      <x:c r="O31" s="2"/>
      <x:c r="P31" s="2"/>
      <x:c r="Q31" s="2"/>
      <x:c r="R31" s="2"/>
      <x:c r="S31" s="2"/>
      <x:c r="T31" s="2"/>
      <x:c r="U31" s="2"/>
      <x:c r="V31" s="2"/>
    </x:row>
    <x:row r="32" ht="64" customHeight="1">
      <x:c r="A32" s="10" t="str">
        <x:v>Automation</x:v>
      </x:c>
      <x:c r="B32" s="10" t="str">
        <x:v>This pilot is a one-time collection. Recurring monitors, website publication, and database setup have not been activated.</x:v>
      </x:c>
      <x:c r="C32" s="2"/>
      <x:c r="D32" s="2"/>
      <x:c r="E32" s="2"/>
      <x:c r="F32" s="2"/>
      <x:c r="G32" s="2"/>
      <x:c r="H32" s="2"/>
      <x:c r="I32" s="2"/>
      <x:c r="J32" s="2"/>
      <x:c r="K32" s="2"/>
      <x:c r="L32" s="2"/>
      <x:c r="M32" s="2"/>
      <x:c r="N32" s="2"/>
      <x:c r="O32" s="2"/>
      <x:c r="P32" s="2"/>
      <x:c r="Q32" s="2"/>
      <x:c r="R32" s="2"/>
      <x:c r="S32" s="2"/>
      <x:c r="T32" s="2"/>
      <x:c r="U32" s="2"/>
      <x:c r="V32" s="2"/>
    </x:row>
    <x:row r="33" ht="64" customHeight="1">
      <x:c r="A33" s="10" t="str">
        <x:v>Cost and time</x:v>
      </x:c>
      <x:c r="B33" s="10" t="str">
        <x:v>Credits are reported by the service for this run and exclude earlier tests. USD cost, nationwide recall, and your review hours were not measured.</x:v>
      </x:c>
      <x:c r="C33" s="2"/>
      <x:c r="D33" s="2"/>
      <x:c r="E33" s="2"/>
      <x:c r="F33" s="2"/>
      <x:c r="G33" s="2"/>
      <x:c r="H33" s="2"/>
      <x:c r="I33" s="2"/>
      <x:c r="J33" s="2"/>
      <x:c r="K33" s="2"/>
      <x:c r="L33" s="2"/>
      <x:c r="M33" s="2"/>
      <x:c r="N33" s="2"/>
      <x:c r="O33" s="2"/>
      <x:c r="P33" s="2"/>
      <x:c r="Q33" s="2"/>
      <x:c r="R33" s="2"/>
      <x:c r="S33" s="2"/>
      <x:c r="T33" s="2"/>
      <x:c r="U33" s="2"/>
      <x:c r="V33" s="2"/>
    </x:row>
    <x:row r="34">
      <x:c r="A34" s="2"/>
      <x:c r="B34" s="2"/>
      <x:c r="C34" s="2"/>
      <x:c r="D34" s="2"/>
      <x:c r="E34" s="2"/>
      <x:c r="F34" s="2"/>
      <x:c r="G34" s="2"/>
      <x:c r="H34" s="2"/>
      <x:c r="I34" s="2"/>
      <x:c r="J34" s="2"/>
      <x:c r="K34" s="2"/>
      <x:c r="L34" s="2"/>
      <x:c r="M34" s="2"/>
      <x:c r="N34" s="2"/>
      <x:c r="O34" s="2"/>
      <x:c r="P34" s="2"/>
      <x:c r="Q34" s="2"/>
      <x:c r="R34" s="2"/>
      <x:c r="S34" s="2"/>
      <x:c r="T34" s="2"/>
      <x:c r="U34" s="2"/>
      <x:c r="V34" s="2"/>
    </x:row>
    <x:row r="35">
      <x:c r="A35" s="2"/>
      <x:c r="B35" s="2"/>
      <x:c r="C35" s="2"/>
      <x:c r="D35" s="2"/>
      <x:c r="E35" s="2"/>
      <x:c r="F35" s="2"/>
      <x:c r="G35" s="2"/>
      <x:c r="H35" s="2"/>
      <x:c r="I35" s="2"/>
      <x:c r="J35" s="2"/>
      <x:c r="K35" s="2"/>
      <x:c r="L35" s="2"/>
      <x:c r="M35" s="2"/>
      <x:c r="N35" s="2"/>
      <x:c r="O35" s="2"/>
      <x:c r="P35" s="2"/>
      <x:c r="Q35" s="2"/>
      <x:c r="R35" s="2"/>
      <x:c r="S35" s="2"/>
      <x:c r="T35" s="2"/>
      <x:c r="U35" s="2"/>
      <x:c r="V35" s="2"/>
    </x:row>
    <x:row r="36">
      <x:c r="A36" s="2"/>
      <x:c r="B36" s="2"/>
      <x:c r="C36" s="2"/>
      <x:c r="D36" s="2"/>
      <x:c r="E36" s="2"/>
      <x:c r="F36" s="2"/>
      <x:c r="G36" s="2"/>
      <x:c r="H36" s="2"/>
      <x:c r="I36" s="2"/>
      <x:c r="J36" s="2"/>
      <x:c r="K36" s="2"/>
      <x:c r="L36" s="2"/>
      <x:c r="M36" s="2"/>
      <x:c r="N36" s="2"/>
      <x:c r="O36" s="2"/>
      <x:c r="P36" s="2"/>
      <x:c r="Q36" s="2"/>
      <x:c r="R36" s="2"/>
      <x:c r="S36" s="2"/>
      <x:c r="T36" s="2"/>
      <x:c r="U36" s="2"/>
      <x:c r="V36" s="2"/>
    </x:row>
    <x:row r="37">
      <x:c r="A37" s="2"/>
      <x:c r="B37" s="2"/>
      <x:c r="C37" s="2"/>
      <x:c r="D37" s="2"/>
      <x:c r="E37" s="2"/>
      <x:c r="F37" s="2"/>
      <x:c r="G37" s="2"/>
      <x:c r="H37" s="2"/>
      <x:c r="I37" s="2"/>
      <x:c r="J37" s="2"/>
      <x:c r="K37" s="2"/>
      <x:c r="L37" s="2"/>
      <x:c r="M37" s="2"/>
      <x:c r="N37" s="2"/>
      <x:c r="O37" s="2"/>
      <x:c r="P37" s="2"/>
      <x:c r="Q37" s="2"/>
      <x:c r="R37" s="2"/>
      <x:c r="S37" s="2"/>
      <x:c r="T37" s="2"/>
      <x:c r="U37" s="2"/>
      <x:c r="V37" s="2"/>
    </x:row>
    <x:row r="38">
      <x:c r="A38" s="2"/>
      <x:c r="B38" s="2"/>
      <x:c r="C38" s="2"/>
      <x:c r="D38" s="2"/>
      <x:c r="E38" s="2"/>
      <x:c r="F38" s="2"/>
      <x:c r="G38" s="2"/>
      <x:c r="H38" s="2"/>
      <x:c r="I38" s="2"/>
      <x:c r="J38" s="2"/>
      <x:c r="K38" s="2"/>
      <x:c r="L38" s="2"/>
      <x:c r="M38" s="2"/>
      <x:c r="N38" s="2"/>
      <x:c r="O38" s="2"/>
      <x:c r="P38" s="2"/>
      <x:c r="Q38" s="2"/>
      <x:c r="R38" s="2"/>
      <x:c r="S38" s="2"/>
      <x:c r="T38" s="2"/>
      <x:c r="U38" s="2"/>
      <x:c r="V38" s="2"/>
    </x:row>
    <x:row r="39">
      <x:c r="A39" s="2"/>
      <x:c r="B39" s="2"/>
      <x:c r="C39" s="2"/>
      <x:c r="D39" s="2"/>
      <x:c r="E39" s="2"/>
      <x:c r="F39" s="2"/>
      <x:c r="G39" s="2"/>
      <x:c r="H39" s="2"/>
      <x:c r="I39" s="2"/>
      <x:c r="J39" s="2"/>
      <x:c r="K39" s="2"/>
      <x:c r="L39" s="2"/>
      <x:c r="M39" s="2"/>
      <x:c r="N39" s="2"/>
      <x:c r="O39" s="2"/>
      <x:c r="P39" s="2"/>
      <x:c r="Q39" s="2"/>
      <x:c r="R39" s="2"/>
      <x:c r="S39" s="2"/>
      <x:c r="T39" s="2"/>
      <x:c r="U39" s="2"/>
      <x:c r="V39" s="2"/>
    </x:row>
    <x:row r="40">
      <x:c r="A40" s="2"/>
      <x:c r="B40" s="2"/>
      <x:c r="C40" s="2"/>
      <x:c r="D40" s="2"/>
      <x:c r="E40" s="2"/>
      <x:c r="F40" s="2"/>
      <x:c r="G40" s="2"/>
      <x:c r="H40" s="2"/>
      <x:c r="I40" s="2"/>
      <x:c r="J40" s="2"/>
      <x:c r="K40" s="2"/>
      <x:c r="L40" s="2"/>
      <x:c r="M40" s="2"/>
      <x:c r="N40" s="2"/>
      <x:c r="O40" s="2"/>
      <x:c r="P40" s="2"/>
      <x:c r="Q40" s="2"/>
      <x:c r="R40" s="2"/>
      <x:c r="S40" s="2"/>
      <x:c r="T40" s="2"/>
      <x:c r="U40" s="2"/>
      <x:c r="V40" s="2"/>
    </x:row>
    <x:row r="41">
      <x:c r="A41" s="2"/>
      <x:c r="B41" s="2"/>
      <x:c r="C41" s="2"/>
      <x:c r="D41" s="2"/>
      <x:c r="E41" s="2"/>
      <x:c r="F41" s="2"/>
      <x:c r="G41" s="2"/>
      <x:c r="H41" s="2"/>
      <x:c r="I41" s="2"/>
      <x:c r="J41" s="2"/>
      <x:c r="K41" s="2"/>
      <x:c r="L41" s="2"/>
      <x:c r="M41" s="2"/>
      <x:c r="N41" s="2"/>
      <x:c r="O41" s="2"/>
      <x:c r="P41" s="2"/>
      <x:c r="Q41" s="2"/>
      <x:c r="R41" s="2"/>
      <x:c r="S41" s="2"/>
      <x:c r="T41" s="2"/>
      <x:c r="U41" s="2"/>
      <x:c r="V41" s="2"/>
    </x:row>
    <x:row r="42">
      <x:c r="A42" s="2"/>
      <x:c r="B42" s="2"/>
      <x:c r="C42" s="2"/>
      <x:c r="D42" s="2"/>
      <x:c r="E42" s="2"/>
      <x:c r="F42" s="2"/>
      <x:c r="G42" s="2"/>
      <x:c r="H42" s="2"/>
      <x:c r="I42" s="2"/>
      <x:c r="J42" s="2"/>
      <x:c r="K42" s="2"/>
      <x:c r="L42" s="2"/>
      <x:c r="M42" s="2"/>
      <x:c r="N42" s="2"/>
      <x:c r="O42" s="2"/>
      <x:c r="P42" s="2"/>
      <x:c r="Q42" s="2"/>
      <x:c r="R42" s="2"/>
      <x:c r="S42" s="2"/>
      <x:c r="T42" s="2"/>
      <x:c r="U42" s="2"/>
      <x:c r="V42" s="2"/>
    </x:row>
    <x:row r="43">
      <x:c r="A43" s="2"/>
      <x:c r="B43" s="2"/>
      <x:c r="C43" s="2"/>
      <x:c r="D43" s="2"/>
      <x:c r="E43" s="2"/>
      <x:c r="F43" s="2"/>
      <x:c r="G43" s="2"/>
      <x:c r="H43" s="2"/>
      <x:c r="I43" s="2"/>
      <x:c r="J43" s="2"/>
      <x:c r="K43" s="2"/>
      <x:c r="L43" s="2"/>
      <x:c r="M43" s="2"/>
      <x:c r="N43" s="2"/>
      <x:c r="O43" s="2"/>
      <x:c r="P43" s="2"/>
      <x:c r="Q43" s="2"/>
      <x:c r="R43" s="2"/>
      <x:c r="S43" s="2"/>
      <x:c r="T43" s="2"/>
      <x:c r="U43" s="2"/>
      <x:c r="V43" s="2"/>
    </x:row>
    <x:row r="44">
      <x:c r="A44" s="2"/>
      <x:c r="B44" s="2"/>
      <x:c r="C44" s="2"/>
      <x:c r="D44" s="2"/>
      <x:c r="E44" s="2"/>
      <x:c r="F44" s="2"/>
      <x:c r="G44" s="2"/>
      <x:c r="H44" s="2"/>
      <x:c r="I44" s="2"/>
      <x:c r="J44" s="2"/>
      <x:c r="K44" s="2"/>
      <x:c r="L44" s="2"/>
      <x:c r="M44" s="2"/>
      <x:c r="N44" s="2"/>
      <x:c r="O44" s="2"/>
      <x:c r="P44" s="2"/>
      <x:c r="Q44" s="2"/>
      <x:c r="R44" s="2"/>
      <x:c r="S44" s="2"/>
      <x:c r="T44" s="2"/>
      <x:c r="U44" s="2"/>
      <x:c r="V44" s="2"/>
    </x:row>
    <x:row r="45">
      <x:c r="A45" s="2"/>
      <x:c r="B45" s="2"/>
      <x:c r="C45" s="2"/>
      <x:c r="D45" s="2"/>
      <x:c r="E45" s="2"/>
      <x:c r="F45" s="2"/>
      <x:c r="G45" s="2"/>
      <x:c r="H45" s="2"/>
      <x:c r="I45" s="2"/>
      <x:c r="J45" s="2"/>
      <x:c r="K45" s="2"/>
      <x:c r="L45" s="2"/>
      <x:c r="M45" s="2"/>
      <x:c r="N45" s="2"/>
      <x:c r="O45" s="2"/>
      <x:c r="P45" s="2"/>
      <x:c r="Q45" s="2"/>
      <x:c r="R45" s="2"/>
      <x:c r="S45" s="2"/>
      <x:c r="T45" s="2"/>
      <x:c r="U45" s="2"/>
      <x:c r="V45" s="2"/>
    </x:row>
    <x:row r="46">
      <x:c r="A46" s="2"/>
      <x:c r="B46" s="2"/>
      <x:c r="C46" s="2"/>
      <x:c r="D46" s="2"/>
      <x:c r="E46" s="2"/>
      <x:c r="F46" s="2"/>
      <x:c r="G46" s="2"/>
      <x:c r="H46" s="2"/>
      <x:c r="I46" s="2"/>
      <x:c r="J46" s="2"/>
      <x:c r="K46" s="2"/>
      <x:c r="L46" s="2"/>
      <x:c r="M46" s="2"/>
      <x:c r="N46" s="2"/>
      <x:c r="O46" s="2"/>
      <x:c r="P46" s="2"/>
      <x:c r="Q46" s="2"/>
      <x:c r="R46" s="2"/>
      <x:c r="S46" s="2"/>
      <x:c r="T46" s="2"/>
      <x:c r="U46" s="2"/>
      <x:c r="V46" s="2"/>
    </x:row>
    <x:row r="47">
      <x:c r="A47" s="2"/>
      <x:c r="B47" s="2"/>
      <x:c r="C47" s="2"/>
      <x:c r="D47" s="2"/>
      <x:c r="E47" s="2"/>
      <x:c r="F47" s="2"/>
      <x:c r="G47" s="2"/>
      <x:c r="H47" s="2"/>
      <x:c r="I47" s="2"/>
      <x:c r="J47" s="2"/>
      <x:c r="K47" s="2"/>
      <x:c r="L47" s="2"/>
      <x:c r="M47" s="2"/>
      <x:c r="N47" s="2"/>
      <x:c r="O47" s="2"/>
      <x:c r="P47" s="2"/>
      <x:c r="Q47" s="2"/>
      <x:c r="R47" s="2"/>
      <x:c r="S47" s="2"/>
      <x:c r="T47" s="2"/>
      <x:c r="U47" s="2"/>
      <x:c r="V47" s="2"/>
    </x:row>
    <x:row r="48">
      <x:c r="A48" s="2"/>
      <x:c r="B48" s="2"/>
      <x:c r="C48" s="2"/>
      <x:c r="D48" s="2"/>
      <x:c r="E48" s="2"/>
      <x:c r="F48" s="2"/>
      <x:c r="G48" s="2"/>
      <x:c r="H48" s="2"/>
      <x:c r="I48" s="2"/>
      <x:c r="J48" s="2"/>
      <x:c r="K48" s="2"/>
      <x:c r="L48" s="2"/>
      <x:c r="M48" s="2"/>
      <x:c r="N48" s="2"/>
      <x:c r="O48" s="2"/>
      <x:c r="P48" s="2"/>
      <x:c r="Q48" s="2"/>
      <x:c r="R48" s="2"/>
      <x:c r="S48" s="2"/>
      <x:c r="T48" s="2"/>
      <x:c r="U48" s="2"/>
      <x:c r="V48" s="2"/>
    </x:row>
    <x:row r="49">
      <x:c r="A49" s="2"/>
      <x:c r="B49" s="2"/>
      <x:c r="C49" s="2"/>
      <x:c r="D49" s="2"/>
      <x:c r="E49" s="2"/>
      <x:c r="F49" s="2"/>
      <x:c r="G49" s="2"/>
      <x:c r="H49" s="2"/>
      <x:c r="I49" s="2"/>
      <x:c r="J49" s="2"/>
      <x:c r="K49" s="2"/>
      <x:c r="L49" s="2"/>
      <x:c r="M49" s="2"/>
      <x:c r="N49" s="2"/>
      <x:c r="O49" s="2"/>
      <x:c r="P49" s="2"/>
      <x:c r="Q49" s="2"/>
      <x:c r="R49" s="2"/>
      <x:c r="S49" s="2"/>
      <x:c r="T49" s="2"/>
      <x:c r="U49" s="2"/>
      <x:c r="V49" s="2"/>
    </x:row>
    <x:row r="50">
      <x:c r="A50" s="2"/>
      <x:c r="B50" s="2"/>
      <x:c r="C50" s="2"/>
      <x:c r="D50" s="2"/>
      <x:c r="E50" s="2"/>
      <x:c r="F50" s="2"/>
      <x:c r="G50" s="2"/>
      <x:c r="H50" s="2"/>
      <x:c r="I50" s="2"/>
      <x:c r="J50" s="2"/>
      <x:c r="K50" s="2"/>
      <x:c r="L50" s="2"/>
      <x:c r="M50" s="2"/>
      <x:c r="N50" s="2"/>
      <x:c r="O50" s="2"/>
      <x:c r="P50" s="2"/>
      <x:c r="Q50" s="2"/>
      <x:c r="R50" s="2"/>
      <x:c r="S50" s="2"/>
      <x:c r="T50" s="2"/>
      <x:c r="U50" s="2"/>
      <x:c r="V50" s="2"/>
    </x:row>
    <x:row r="51">
      <x:c r="A51" s="2"/>
      <x:c r="B51" s="2"/>
      <x:c r="C51" s="2"/>
      <x:c r="D51" s="2"/>
      <x:c r="E51" s="2"/>
      <x:c r="F51" s="2"/>
      <x:c r="G51" s="2"/>
      <x:c r="H51" s="2"/>
      <x:c r="I51" s="2"/>
      <x:c r="J51" s="2"/>
      <x:c r="K51" s="2"/>
      <x:c r="L51" s="2"/>
      <x:c r="M51" s="2"/>
      <x:c r="N51" s="2"/>
      <x:c r="O51" s="2"/>
      <x:c r="P51" s="2"/>
      <x:c r="Q51" s="2"/>
      <x:c r="R51" s="2"/>
      <x:c r="S51" s="2"/>
      <x:c r="T51" s="2"/>
      <x:c r="U51" s="2"/>
      <x:c r="V51" s="2"/>
    </x:row>
    <x:row r="52">
      <x:c r="A52" s="2"/>
      <x:c r="B52" s="2"/>
      <x:c r="C52" s="2"/>
      <x:c r="D52" s="2"/>
      <x:c r="E52" s="2"/>
      <x:c r="F52" s="2"/>
      <x:c r="G52" s="2"/>
      <x:c r="H52" s="2"/>
      <x:c r="I52" s="2"/>
      <x:c r="J52" s="2"/>
      <x:c r="K52" s="2"/>
      <x:c r="L52" s="2"/>
      <x:c r="M52" s="2"/>
      <x:c r="N52" s="2"/>
      <x:c r="O52" s="2"/>
      <x:c r="P52" s="2"/>
      <x:c r="Q52" s="2"/>
      <x:c r="R52" s="2"/>
      <x:c r="S52" s="2"/>
      <x:c r="T52" s="2"/>
      <x:c r="U52" s="2"/>
      <x:c r="V52" s="2"/>
    </x:row>
    <x:row r="53">
      <x:c r="A53" s="2"/>
      <x:c r="B53" s="2"/>
      <x:c r="C53" s="2"/>
      <x:c r="D53" s="2"/>
      <x:c r="E53" s="2"/>
      <x:c r="F53" s="2"/>
      <x:c r="G53" s="2"/>
      <x:c r="H53" s="2"/>
      <x:c r="I53" s="2"/>
      <x:c r="J53" s="2"/>
      <x:c r="K53" s="2"/>
      <x:c r="L53" s="2"/>
      <x:c r="M53" s="2"/>
      <x:c r="N53" s="2"/>
      <x:c r="O53" s="2"/>
      <x:c r="P53" s="2"/>
      <x:c r="Q53" s="2"/>
      <x:c r="R53" s="2"/>
      <x:c r="S53" s="2"/>
      <x:c r="T53" s="2"/>
      <x:c r="U53" s="2"/>
      <x:c r="V53" s="2"/>
    </x:row>
    <x:row r="54">
      <x:c r="A54" s="2"/>
      <x:c r="B54" s="2"/>
      <x:c r="C54" s="2"/>
      <x:c r="D54" s="2"/>
      <x:c r="E54" s="2"/>
      <x:c r="F54" s="2"/>
      <x:c r="G54" s="2"/>
      <x:c r="H54" s="2"/>
      <x:c r="I54" s="2"/>
      <x:c r="J54" s="2"/>
      <x:c r="K54" s="2"/>
      <x:c r="L54" s="2"/>
      <x:c r="M54" s="2"/>
      <x:c r="N54" s="2"/>
      <x:c r="O54" s="2"/>
      <x:c r="P54" s="2"/>
      <x:c r="Q54" s="2"/>
      <x:c r="R54" s="2"/>
      <x:c r="S54" s="2"/>
      <x:c r="T54" s="2"/>
      <x:c r="U54" s="2"/>
      <x:c r="V54" s="2"/>
    </x:row>
    <x:row r="55">
      <x:c r="A55" s="2"/>
      <x:c r="B55" s="2"/>
      <x:c r="C55" s="2"/>
      <x:c r="D55" s="2"/>
      <x:c r="E55" s="2"/>
      <x:c r="F55" s="2"/>
      <x:c r="G55" s="2"/>
      <x:c r="H55" s="2"/>
      <x:c r="I55" s="2"/>
      <x:c r="J55" s="2"/>
      <x:c r="K55" s="2"/>
      <x:c r="L55" s="2"/>
      <x:c r="M55" s="2"/>
      <x:c r="N55" s="2"/>
      <x:c r="O55" s="2"/>
      <x:c r="P55" s="2"/>
      <x:c r="Q55" s="2"/>
      <x:c r="R55" s="2"/>
      <x:c r="S55" s="2"/>
      <x:c r="T55" s="2"/>
      <x:c r="U55" s="2"/>
      <x:c r="V55" s="2"/>
    </x:row>
    <x:row r="56">
      <x:c r="A56" s="2"/>
      <x:c r="B56" s="2"/>
      <x:c r="C56" s="2"/>
      <x:c r="D56" s="2"/>
      <x:c r="E56" s="2"/>
      <x:c r="F56" s="2"/>
      <x:c r="G56" s="2"/>
      <x:c r="H56" s="2"/>
      <x:c r="I56" s="2"/>
      <x:c r="J56" s="2"/>
      <x:c r="K56" s="2"/>
      <x:c r="L56" s="2"/>
      <x:c r="M56" s="2"/>
      <x:c r="N56" s="2"/>
      <x:c r="O56" s="2"/>
      <x:c r="P56" s="2"/>
      <x:c r="Q56" s="2"/>
      <x:c r="R56" s="2"/>
      <x:c r="S56" s="2"/>
      <x:c r="T56" s="2"/>
      <x:c r="U56" s="2"/>
      <x:c r="V56" s="2"/>
    </x:row>
    <x:row r="57">
      <x:c r="A57" s="2"/>
      <x:c r="B57" s="2"/>
      <x:c r="C57" s="2"/>
      <x:c r="D57" s="2"/>
      <x:c r="E57" s="2"/>
      <x:c r="F57" s="2"/>
      <x:c r="G57" s="2"/>
      <x:c r="H57" s="2"/>
      <x:c r="I57" s="2"/>
      <x:c r="J57" s="2"/>
      <x:c r="K57" s="2"/>
      <x:c r="L57" s="2"/>
      <x:c r="M57" s="2"/>
      <x:c r="N57" s="2"/>
      <x:c r="O57" s="2"/>
      <x:c r="P57" s="2"/>
      <x:c r="Q57" s="2"/>
      <x:c r="R57" s="2"/>
      <x:c r="S57" s="2"/>
      <x:c r="T57" s="2"/>
      <x:c r="U57" s="2"/>
      <x:c r="V57" s="2"/>
    </x:row>
    <x:row r="58">
      <x:c r="A58" s="2"/>
      <x:c r="B58" s="2"/>
      <x:c r="C58" s="2"/>
      <x:c r="D58" s="2"/>
      <x:c r="E58" s="2"/>
      <x:c r="F58" s="2"/>
      <x:c r="G58" s="2"/>
      <x:c r="H58" s="2"/>
      <x:c r="I58" s="2"/>
      <x:c r="J58" s="2"/>
      <x:c r="K58" s="2"/>
      <x:c r="L58" s="2"/>
      <x:c r="M58" s="2"/>
      <x:c r="N58" s="2"/>
      <x:c r="O58" s="2"/>
      <x:c r="P58" s="2"/>
      <x:c r="Q58" s="2"/>
      <x:c r="R58" s="2"/>
      <x:c r="S58" s="2"/>
      <x:c r="T58" s="2"/>
      <x:c r="U58" s="2"/>
      <x:c r="V58" s="2"/>
    </x:row>
    <x:row r="59">
      <x:c r="A59" s="2"/>
      <x:c r="B59" s="2"/>
      <x:c r="C59" s="2"/>
      <x:c r="D59" s="2"/>
      <x:c r="E59" s="2"/>
      <x:c r="F59" s="2"/>
      <x:c r="G59" s="2"/>
      <x:c r="H59" s="2"/>
      <x:c r="I59" s="2"/>
      <x:c r="J59" s="2"/>
      <x:c r="K59" s="2"/>
      <x:c r="L59" s="2"/>
      <x:c r="M59" s="2"/>
      <x:c r="N59" s="2"/>
      <x:c r="O59" s="2"/>
      <x:c r="P59" s="2"/>
      <x:c r="Q59" s="2"/>
      <x:c r="R59" s="2"/>
      <x:c r="S59" s="2"/>
      <x:c r="T59" s="2"/>
      <x:c r="U59" s="2"/>
      <x:c r="V59" s="2"/>
    </x:row>
    <x:row r="60">
      <x:c r="A60" s="2"/>
      <x:c r="B60" s="2"/>
      <x:c r="C60" s="2"/>
      <x:c r="D60" s="2"/>
      <x:c r="E60" s="2"/>
      <x:c r="F60" s="2"/>
      <x:c r="G60" s="2"/>
      <x:c r="H60" s="2"/>
      <x:c r="I60" s="2"/>
      <x:c r="J60" s="2"/>
      <x:c r="K60" s="2"/>
      <x:c r="L60" s="2"/>
      <x:c r="M60" s="2"/>
      <x:c r="N60" s="2"/>
      <x:c r="O60" s="2"/>
      <x:c r="P60" s="2"/>
      <x:c r="Q60" s="2"/>
      <x:c r="R60" s="2"/>
      <x:c r="S60" s="2"/>
      <x:c r="T60" s="2"/>
      <x:c r="U60" s="2"/>
      <x:c r="V60" s="2"/>
    </x:row>
    <x:row r="61">
      <x:c r="A61" s="2"/>
      <x:c r="B61" s="2"/>
      <x:c r="C61" s="2"/>
      <x:c r="D61" s="2"/>
      <x:c r="E61" s="2"/>
      <x:c r="F61" s="2"/>
      <x:c r="G61" s="2"/>
      <x:c r="H61" s="2"/>
      <x:c r="I61" s="2"/>
      <x:c r="J61" s="2"/>
      <x:c r="K61" s="2"/>
      <x:c r="L61" s="2"/>
      <x:c r="M61" s="2"/>
      <x:c r="N61" s="2"/>
      <x:c r="O61" s="2"/>
      <x:c r="P61" s="2"/>
      <x:c r="Q61" s="2"/>
      <x:c r="R61" s="2"/>
      <x:c r="S61" s="2"/>
      <x:c r="T61" s="2"/>
      <x:c r="U61" s="2"/>
      <x:c r="V61" s="2"/>
    </x:row>
    <x:row r="62">
      <x:c r="A62" s="2"/>
      <x:c r="B62" s="2"/>
      <x:c r="C62" s="2"/>
      <x:c r="D62" s="2"/>
      <x:c r="E62" s="2"/>
      <x:c r="F62" s="2"/>
      <x:c r="G62" s="2"/>
      <x:c r="H62" s="2"/>
      <x:c r="I62" s="2"/>
      <x:c r="J62" s="2"/>
      <x:c r="K62" s="2"/>
      <x:c r="L62" s="2"/>
      <x:c r="M62" s="2"/>
      <x:c r="N62" s="2"/>
      <x:c r="O62" s="2"/>
      <x:c r="P62" s="2"/>
      <x:c r="Q62" s="2"/>
      <x:c r="R62" s="2"/>
      <x:c r="S62" s="2"/>
      <x:c r="T62" s="2"/>
      <x:c r="U62" s="2"/>
      <x:c r="V62" s="2"/>
    </x:row>
    <x:row r="63">
      <x:c r="A63" s="2"/>
      <x:c r="B63" s="2"/>
      <x:c r="C63" s="2"/>
      <x:c r="D63" s="2"/>
      <x:c r="E63" s="2"/>
      <x:c r="F63" s="2"/>
      <x:c r="G63" s="2"/>
      <x:c r="H63" s="2"/>
      <x:c r="I63" s="2"/>
      <x:c r="J63" s="2"/>
      <x:c r="K63" s="2"/>
      <x:c r="L63" s="2"/>
      <x:c r="M63" s="2"/>
      <x:c r="N63" s="2"/>
      <x:c r="O63" s="2"/>
      <x:c r="P63" s="2"/>
      <x:c r="Q63" s="2"/>
      <x:c r="R63" s="2"/>
      <x:c r="S63" s="2"/>
      <x:c r="T63" s="2"/>
      <x:c r="U63" s="2"/>
      <x:c r="V63" s="2"/>
    </x:row>
    <x:row r="64">
      <x:c r="A64" s="2"/>
      <x:c r="B64" s="2"/>
      <x:c r="C64" s="2"/>
      <x:c r="D64" s="2"/>
      <x:c r="E64" s="2"/>
      <x:c r="F64" s="2"/>
      <x:c r="G64" s="2"/>
      <x:c r="H64" s="2"/>
      <x:c r="I64" s="2"/>
      <x:c r="J64" s="2"/>
      <x:c r="K64" s="2"/>
      <x:c r="L64" s="2"/>
      <x:c r="M64" s="2"/>
      <x:c r="N64" s="2"/>
      <x:c r="O64" s="2"/>
      <x:c r="P64" s="2"/>
      <x:c r="Q64" s="2"/>
      <x:c r="R64" s="2"/>
      <x:c r="S64" s="2"/>
      <x:c r="T64" s="2"/>
      <x:c r="U64" s="2"/>
      <x:c r="V64" s="2"/>
    </x:row>
    <x:row r="65">
      <x:c r="A65" s="2"/>
      <x:c r="B65" s="2"/>
      <x:c r="C65" s="2"/>
      <x:c r="D65" s="2"/>
      <x:c r="E65" s="2"/>
      <x:c r="F65" s="2"/>
      <x:c r="G65" s="2"/>
      <x:c r="H65" s="2"/>
      <x:c r="I65" s="2"/>
      <x:c r="J65" s="2"/>
      <x:c r="K65" s="2"/>
      <x:c r="L65" s="2"/>
      <x:c r="M65" s="2"/>
      <x:c r="N65" s="2"/>
      <x:c r="O65" s="2"/>
      <x:c r="P65" s="2"/>
      <x:c r="Q65" s="2"/>
      <x:c r="R65" s="2"/>
      <x:c r="S65" s="2"/>
      <x:c r="T65" s="2"/>
      <x:c r="U65" s="2"/>
      <x:c r="V65"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3" hidden="0" customWidth="1"/>
    <x:col min="3" max="3" width="28" hidden="0" customWidth="1"/>
    <x:col min="4" max="4" width="48" hidden="0" customWidth="1"/>
    <x:col min="5" max="5" width="14" hidden="0" customWidth="1"/>
    <x:col min="6" max="6" width="26" hidden="0" customWidth="1"/>
    <x:col min="7" max="7" width="25" hidden="0" customWidth="1"/>
    <x:col min="8" max="8" width="42" hidden="0" customWidth="1"/>
    <x:col min="9" max="9" width="18" hidden="0" customWidth="1"/>
    <x:col min="10" max="10" width="42" hidden="0" customWidth="1"/>
    <x:col min="11" max="11" width="14" hidden="0" customWidth="1"/>
    <x:col min="12" max="12" width="60" hidden="0" customWidth="1"/>
    <x:col min="13" max="13" width="60" hidden="0" customWidth="1"/>
    <x:col min="14" max="14" width="40" hidden="0" customWidth="1"/>
    <x:col min="15" max="15" width="28" hidden="0" customWidth="1"/>
    <x:col min="16" max="16" width="20" hidden="0" customWidth="1"/>
    <x:col min="17" max="17" width="40" hidden="0" customWidth="1"/>
    <x:col min="18" max="18" width="28" hidden="0" customWidth="1"/>
    <x:col min="19" max="19" width="14" hidden="0" customWidth="1"/>
    <x:col min="20" max="20" width="56" hidden="0" customWidth="1"/>
    <x:col min="21" max="21" width="56" hidden="0" customWidth="1"/>
    <x:col min="22" max="22" width="60" hidden="0" customWidth="1"/>
  </x:cols>
  <x:sheetData>
    <x:row r="1" ht="34" customHeight="1">
      <x:c r="A1" s="8" t="str">
        <x:v>Record ID</x:v>
      </x:c>
      <x:c r="B1" s="8" t="str">
        <x:v>Type</x:v>
      </x:c>
      <x:c r="C1" s="8" t="str">
        <x:v>Source</x:v>
      </x:c>
      <x:c r="D1" s="8" t="str">
        <x:v>Original title</x:v>
      </x:c>
      <x:c r="E1" s="8" t="str">
        <x:v>Source date</x:v>
      </x:c>
      <x:c r="F1" s="8" t="str">
        <x:v>Date meaning</x:v>
      </x:c>
      <x:c r="G1" s="8" t="str">
        <x:v>District</x:v>
      </x:c>
      <x:c r="H1" s="8" t="str">
        <x:v>River / site</x:v>
      </x:c>
      <x:c r="I1" s="8" t="str">
        <x:v>Material</x:v>
      </x:c>
      <x:c r="J1" s="8" t="str">
        <x:v>Topics</x:v>
      </x:c>
      <x:c r="K1" s="8" t="str">
        <x:v>Language</x:v>
      </x:c>
      <x:c r="L1" s="8" t="str">
        <x:v>Summary English</x:v>
      </x:c>
      <x:c r="M1" s="8" t="str">
        <x:v>Summary Bangla</x:v>
      </x:c>
      <x:c r="N1" s="8" t="str">
        <x:v>Evidence read</x:v>
      </x:c>
      <x:c r="O1" s="8" t="str">
        <x:v>Review flag</x:v>
      </x:c>
      <x:c r="P1" s="8" t="str">
        <x:v>Your decision</x:v>
      </x:c>
      <x:c r="Q1" s="8" t="str">
        <x:v>Your notes</x:v>
      </x:c>
      <x:c r="R1" s="8" t="str">
        <x:v>DOI / document ID</x:v>
      </x:c>
      <x:c r="S1" s="8" t="str">
        <x:v>Other date</x:v>
      </x:c>
      <x:c r="T1" s="8" t="str">
        <x:v>Source URL</x:v>
      </x:c>
      <x:c r="U1" s="8" t="str">
        <x:v>Alternate / PDF URL</x:v>
      </x:c>
      <x:c r="V1" s="8" t="str">
        <x:v>Record notes</x:v>
      </x:c>
    </x:row>
    <x:row r="2" ht="90" customHeight="1">
      <x:c r="A2" s="11" t="str">
        <x:v>BSW-001</x:v>
      </x:c>
      <x:c r="B2" s="11" t="str">
        <x:v>News</x:v>
      </x:c>
      <x:c r="C2" s="11" t="str">
        <x:v>Prothom Alo</x:v>
      </x:c>
      <x:c r="D2" s="11" t="str">
        <x:v>ছোট যমুনা থেকে বালু লুট</x:v>
      </x:c>
      <x:c r="E2" s="12" t="d">
        <x:v>2022-11-14T00:00:00.000Z</x:v>
      </x:c>
      <x:c r="F2" s="11" t="str">
        <x:v>Published</x:v>
      </x:c>
      <x:c r="G2" s="11" t="str">
        <x:v>Naogaon</x:v>
      </x:c>
      <x:c r="H2" s="11" t="str">
        <x:v>Chhoto Jamuna; Badalgachhi; Tejapara</x:v>
      </x:c>
      <x:c r="I2" s="11" t="str">
        <x:v>Sand; soil</x:v>
      </x:c>
      <x:c r="J2" s="11" t="str">
        <x:v>Extraction; erosion; livelihoods; complaints</x:v>
      </x:c>
      <x:c r="K2" s="11" t="str">
        <x:v>Bangla</x:v>
      </x:c>
      <x:c r="L2" s="11" t="str">
        <x:v>Residents alleged extraction outside leased areas near Tejapara, threatening farmland and an embankment. The report describes protests, disputed accusations, and an investigation ordered by the local administration.</x:v>
      </x:c>
      <x:c r="M2" s="11" t="str">
        <x:v>তেজাপাড়ায় ইজারার সীমানার বাইরে বালু ও মাটি উত্তোলনে কৃষিজমি ও বাঁধ ঝুঁকিতে পড়ার অভিযোগ উঠে। প্রতিবেদনে প্রতিবাদ, পাল্টাপাল্টি অভিযোগ এবং প্রশাসনের তদন্তের নির্দেশের কথা রয়েছে।</x:v>
      </x:c>
      <x:c r="N2" s="11" t="str">
        <x:v>Article text</x:v>
      </x:c>
      <x:c r="O2" s="11" t="str">
        <x:v>Verify allegations</x:v>
      </x:c>
      <x:c r="P2" s="13" t="str">
        <x:v>Pending</x:v>
      </x:c>
      <x:c r="Q2" s="13" t="str"/>
      <x:c r="R2" s="11" t="str"/>
      <x:c r="S2" s="12"/>
      <x:c r="T2" s="11" t="str">
        <x:v>https://www.prothomalo.com/bangladesh/district/15o1rzfiv8</x:v>
      </x:c>
      <x:c r="U2" s="11" t="str"/>
      <x:c r="V2" s="11" t="str">
        <x:v>Statements of residents, lease operators and officials are reported claims. Do not classify legality from the headline alone.</x:v>
      </x:c>
    </x:row>
    <x:row r="3" ht="90" customHeight="1">
      <x:c r="A3" s="11" t="str">
        <x:v>BSW-002</x:v>
      </x:c>
      <x:c r="B3" s="11" t="str">
        <x:v>News</x:v>
      </x:c>
      <x:c r="C3" s="11" t="str">
        <x:v>The Daily Star</x:v>
      </x:c>
      <x:c r="D3" s="11" t="str">
        <x:v>Illegal sand extraction from Teesta continues</x:v>
      </x:c>
      <x:c r="E3" s="12" t="d">
        <x:v>2026-07-06T00:00:00.000Z</x:v>
      </x:c>
      <x:c r="F3" s="11" t="str">
        <x:v>Updated</x:v>
      </x:c>
      <x:c r="G3" s="11" t="str">
        <x:v>Lalmonirhat</x:v>
      </x:c>
      <x:c r="H3" s="11" t="str">
        <x:v>Teesta; Kaliganj; Hatibandha; Lalmonirhat Sadar</x:v>
      </x:c>
      <x:c r="I3" s="11" t="str">
        <x:v>Sand</x:v>
      </x:c>
      <x:c r="J3" s="11" t="str">
        <x:v>Extraction; enforcement; erosion</x:v>
      </x:c>
      <x:c r="K3" s="11" t="str">
        <x:v>English</x:v>
      </x:c>
      <x:c r="L3" s="11" t="str">
        <x:v>The report describes continued dredger extraction along the Teesta despite enforcement drives. Residents alleged erosion and intimidation; officials described equipment seizure and difficulties filing cases when operators were absent.</x:v>
      </x:c>
      <x:c r="M3" s="11" t="str">
        <x:v>অভিযানের পরও তিস্তায় ড্রেজার দিয়ে বালু উত্তোলন চলার কথা প্রতিবেদনে বলা হয়েছে। স্থানীয়রা ভাঙন ও ভয়ভীতির অভিযোগ করেন। কর্মকর্তারা যন্ত্র জব্দ এবং অভিযুক্তদের অনুপস্থিতিতে মামলা করার সমস্যার কথা জানান।</x:v>
      </x:c>
      <x:c r="N3" s="11" t="str">
        <x:v>Article text</x:v>
      </x:c>
      <x:c r="O3" s="11" t="str">
        <x:v>Verify allegations</x:v>
      </x:c>
      <x:c r="P3" s="13" t="str">
        <x:v>Pending</x:v>
      </x:c>
      <x:c r="Q3" s="13" t="str"/>
      <x:c r="R3" s="11" t="str"/>
      <x:c r="S3" s="12"/>
      <x:c r="T3" s="11" t="str">
        <x:v>https://www.thedailystar.net/news/bangladesh/news/illegal-sand-extraction-teesta-continues-4217606</x:v>
      </x:c>
      <x:c r="U3" s="11" t="str"/>
      <x:c r="V3" s="11" t="str">
        <x:v>Page provides an update date, not a separately verified original publication date. Separate from BSW-006: different river reach and reported incident.</x:v>
      </x:c>
    </x:row>
    <x:row r="4" ht="90" customHeight="1">
      <x:c r="A4" s="11" t="str">
        <x:v>BSW-003</x:v>
      </x:c>
      <x:c r="B4" s="11" t="str">
        <x:v>News</x:v>
      </x:c>
      <x:c r="C4" s="11" t="str">
        <x:v>Mongabay Bangla</x:v>
      </x:c>
      <x:c r="D4" s="11" t="str">
        <x:v>বালুর বাড়তি চাহিদা মেটাতে নদীতে অবৈধ উত্তোলন, বিপর্যয়ে বাংলাদেশের প্রতিবেশ</x:v>
      </x:c>
      <x:c r="E4" s="12" t="d">
        <x:v>2022-08-16T00:00:00.000Z</x:v>
      </x:c>
      <x:c r="F4" s="11" t="str">
        <x:v>Published</x:v>
      </x:c>
      <x:c r="G4" s="11" t="str">
        <x:v>Multiple; national</x:v>
      </x:c>
      <x:c r="H4" s="11" t="str">
        <x:v>Bangladesh river systems</x:v>
      </x:c>
      <x:c r="I4" s="11" t="str">
        <x:v>Sand</x:v>
      </x:c>
      <x:c r="J4" s="11" t="str">
        <x:v>Demand; governance; environmental impacts</x:v>
      </x:c>
      <x:c r="K4" s="11" t="str">
        <x:v>Bangla</x:v>
      </x:c>
      <x:c r="L4" s="11" t="str">
        <x:v>This feature links construction demand with river sand extraction and reports environmental and governance concerns. It combines stakeholder accounts and national context rather than documenting one extraction incident.</x:v>
      </x:c>
      <x:c r="M4" s="11" t="str">
        <x:v>ফিচারটি নির্মাণশিল্পের চাহিদার সঙ্গে নদী থেকে বালু উত্তোলনের সম্পর্ক তুলে ধরে। এতে পরিবেশ ও ব্যবস্থাপনার সমস্যা নিয়ে বিভিন্ন পক্ষের বক্তব্য রয়েছে। এটি একটি নির্দিষ্ট ঘটনার বদলে জাতীয় প্রেক্ষাপট আলোচনা করে।</x:v>
      </x:c>
      <x:c r="N4" s="11" t="str">
        <x:v>Article text</x:v>
      </x:c>
      <x:c r="O4" s="11" t="str">
        <x:v>Check estimates</x:v>
      </x:c>
      <x:c r="P4" s="13" t="str">
        <x:v>Pending</x:v>
      </x:c>
      <x:c r="Q4" s="13" t="str"/>
      <x:c r="R4" s="11" t="str"/>
      <x:c r="S4" s="12" t="d">
        <x:v>2025-10-01T00:00:00.000Z</x:v>
      </x:c>
      <x:c r="T4" s="11" t="str">
        <x:v>https://bengali.mongabay.com/2022/08/16/%E0%A6%AC%E0%A6%BE%E0%A6%B2%E0%A7%81%E0%A6%B0-%E0%A6%AC%E0%A6%BE%E0%A6%A1%E0%A6%BC%E0%A6%A4%E0%A6%BF-%E0%A6%9A%E0%A6%BE%E0%A6%B9%E0%A6%BF%E0%A6%A6%E0%A6%BE-%E0%A6%AE%E0%A7%87%E0%A6%9F%E0%A6%BE/</x:v>
      </x:c>
      <x:c r="U4" s="11" t="str"/>
      <x:c r="V4" s="11" t="str">
        <x:v>Keep 2022 publication separate from 2025 modification. National quantities and legal/illegal shares need separate evidence before reuse as measured statistics.</x:v>
      </x:c>
    </x:row>
    <x:row r="5" ht="90" customHeight="1">
      <x:c r="A5" s="11" t="str">
        <x:v>BSW-004</x:v>
      </x:c>
      <x:c r="B5" s="11" t="str">
        <x:v>News</x:v>
      </x:c>
      <x:c r="C5" s="11" t="str">
        <x:v>Prothom Alo</x:v>
      </x:c>
      <x:c r="D5" s="11" t="str">
        <x:v>সিলেটে পাথর কোয়ারি ইজারা না দেওয়ার সরকারি সিদ্ধান্ত বহাল রাখার দাবি</x:v>
      </x:c>
      <x:c r="E5" s="12" t="d">
        <x:v>2025-06-26T00:00:00.000Z</x:v>
      </x:c>
      <x:c r="F5" s="11" t="str">
        <x:v>Published</x:v>
      </x:c>
      <x:c r="G5" s="11" t="str">
        <x:v>Sylhet</x:v>
      </x:c>
      <x:c r="H5" s="11" t="str">
        <x:v>Sylhet stone quarries; Jaflong</x:v>
      </x:c>
      <x:c r="I5" s="11" t="str">
        <x:v>Stone; gravel</x:v>
      </x:c>
      <x:c r="J5" s="11" t="str">
        <x:v>Quarrying; civil society; court orders; policy</x:v>
      </x:c>
      <x:c r="K5" s="11" t="str">
        <x:v>Bangla</x:v>
      </x:c>
      <x:c r="L5" s="11" t="str">
        <x:v>A coalition convened through BELA urged retention of restrictions on stone quarry leasing and extraction in Sylhet. The article reports advocacy positions and concerns about machinery, protected areas, air pollution, and noise.</x:v>
      </x:c>
      <x:c r="M5" s="11" t="str">
        <x:v>বেলার উদ্যোগে গঠিত জোট সিলেটে পাথর কোয়ারি ইজারা ও উত্তোলনের ওপর বিধিনিষেধ বহাল রাখার দাবি জানায়। প্রতিবেদনে যন্ত্রের ব্যবহার, সংরক্ষিত এলাকা এবং বায়ু ও শব্দদূষণ নিয়ে উদ্বেগ তুলে ধরা হয়।</x:v>
      </x:c>
      <x:c r="N5" s="11" t="str">
        <x:v>Article text</x:v>
      </x:c>
      <x:c r="O5" s="11" t="str">
        <x:v>Verify legal references</x:v>
      </x:c>
      <x:c r="P5" s="13" t="str">
        <x:v>Pending</x:v>
      </x:c>
      <x:c r="Q5" s="13" t="str"/>
      <x:c r="R5" s="11" t="str"/>
      <x:c r="S5" s="12"/>
      <x:c r="T5" s="11" t="str">
        <x:v>https://www.prothomalo.com/bangladesh/district/t6xo2rj5qz</x:v>
      </x:c>
      <x:c r="U5" s="11" t="str"/>
      <x:c r="V5" s="11" t="str">
        <x:v>An advocacy meeting is distinct from an official directive. Verify the cited orders before assigning legal status.</x:v>
      </x:c>
    </x:row>
    <x:row r="6" ht="90" customHeight="1">
      <x:c r="A6" s="11" t="str">
        <x:v>BSW-005</x:v>
      </x:c>
      <x:c r="B6" s="11" t="str">
        <x:v>News</x:v>
      </x:c>
      <x:c r="C6" s="11" t="str">
        <x:v>Bonik Barta</x:v>
      </x:c>
      <x:c r="D6" s="11" t="str">
        <x:v>সিলেটের তিন কোয়ারি থেকে পাথর উত্তোলনের অনুমতি</x:v>
      </x:c>
      <x:c r="E6" s="12" t="d">
        <x:v>2021-01-26T00:00:00.000Z</x:v>
      </x:c>
      <x:c r="F6" s="11" t="str">
        <x:v>Published</x:v>
      </x:c>
      <x:c r="G6" s="11" t="str">
        <x:v>Sylhet</x:v>
      </x:c>
      <x:c r="H6" s="11" t="str">
        <x:v>Jaflong; Bholaganj; Bichhanakandi</x:v>
      </x:c>
      <x:c r="I6" s="11" t="str">
        <x:v>Stone; gravel</x:v>
      </x:c>
      <x:c r="J6" s="11" t="str">
        <x:v>Quarrying; court orders; restrictions</x:v>
      </x:c>
      <x:c r="K6" s="11" t="str">
        <x:v>Bangla</x:v>
      </x:c>
      <x:c r="L6" s="11" t="str">
        <x:v>The article reports a temporary court suspension of extraction restrictions at three Sylhet quarries, with conditions on machinery and protected areas. It also describes environmental concerns and earlier restrictions.</x:v>
      </x:c>
      <x:c r="M6" s="11" t="str">
        <x:v>প্রতিবেদনে সিলেটের তিনটি কোয়ারিতে উত্তোলনের নিষেধাজ্ঞা আদালত সাময়িকভাবে স্থগিত করার কথা বলা হয়েছে। যন্ত্র ও সংরক্ষিত এলাকা নিয়ে শর্ত, পরিবেশগত উদ্বেগ এবং আগের বিধিনিষেধও উল্লেখ রয়েছে।</x:v>
      </x:c>
      <x:c r="N6" s="11" t="str">
        <x:v>Article text; spacing errors</x:v>
      </x:c>
      <x:c r="O6" s="11" t="str">
        <x:v>Verify legal references</x:v>
      </x:c>
      <x:c r="P6" s="13" t="str">
        <x:v>Pending</x:v>
      </x:c>
      <x:c r="Q6" s="13" t="str"/>
      <x:c r="R6" s="11" t="str"/>
      <x:c r="S6" s="12"/>
      <x:c r="T6" s="11" t="str">
        <x:v>https://www.bonikbarta.com/bangladesh/Z5nbIS39Gs5OfNpC/</x:v>
      </x:c>
      <x:c r="U6" s="11" t="str"/>
      <x:c r="V6" s="11" t="str">
        <x:v>Historical report, not current permission. Scrape collapses word spacing in parts of the body. Canonical URL taken from page metadata/share links.</x:v>
      </x:c>
    </x:row>
    <x:row r="7" ht="90" customHeight="1">
      <x:c r="A7" s="11" t="str">
        <x:v>BSW-006</x:v>
      </x:c>
      <x:c r="B7" s="11" t="str">
        <x:v>News</x:v>
      </x:c>
      <x:c r="C7" s="11" t="str">
        <x:v>Daily Observer</x:v>
      </x:c>
      <x:c r="D7" s="11" t="str">
        <x:v>Flood fears loom as Buri Teesta dam cracks a year after renovation</x:v>
      </x:c>
      <x:c r="E7" s="12" t="d">
        <x:v>2026-07-05T00:00:00.000Z</x:v>
      </x:c>
      <x:c r="F7" s="11" t="str">
        <x:v>Published</x:v>
      </x:c>
      <x:c r="G7" s="11" t="str">
        <x:v>Nilphamari</x:v>
      </x:c>
      <x:c r="H7" s="11" t="str">
        <x:v>Buri Teesta; Jaldhaka; Gholmunda; Dauabari</x:v>
      </x:c>
      <x:c r="I7" s="11" t="str">
        <x:v>Sand</x:v>
      </x:c>
      <x:c r="J7" s="11" t="str">
        <x:v>Extraction; transport; embankment damage</x:v>
      </x:c>
      <x:c r="K7" s="11" t="str">
        <x:v>English</x:v>
      </x:c>
      <x:c r="L7" s="11" t="str">
        <x:v>Residents linked embankment cracks and subsidence to alleged illegal extraction and overloaded sand transport. Local officials acknowledged transport damage. The article also raises concerns about construction quality and repair needs.</x:v>
      </x:c>
      <x:c r="M7" s="11" t="str">
        <x:v>স্থানীয়রা বাঁধের ফাটল ও ধসের সঙ্গে অবৈধ বালু উত্তোলন ও অতিরিক্ত বোঝাই পরিবহনকে যুক্ত করেন। কর্মকর্তারাও পরিবহনের ক্ষতির কথা স্বীকার করেন। নির্মাণের মান ও মেরামতের প্রয়োজন নিয়েও প্রশ্ন ওঠে।</x:v>
      </x:c>
      <x:c r="N7" s="11" t="str">
        <x:v>Article text</x:v>
      </x:c>
      <x:c r="O7" s="11" t="str">
        <x:v>Check chronology</x:v>
      </x:c>
      <x:c r="P7" s="13" t="str">
        <x:v>Pending</x:v>
      </x:c>
      <x:c r="Q7" s="13" t="str"/>
      <x:c r="R7" s="11" t="str"/>
      <x:c r="S7" s="12"/>
      <x:c r="T7" s="11" t="str">
        <x:v>https://observerbd.com/news/582009</x:v>
      </x:c>
      <x:c r="U7" s="11" t="str"/>
      <x:c r="V7" s="11" t="str">
        <x:v>Headline says renovation was a year earlier, while the body says the project ended in 2023. Preserve this inconsistency. Do not merge with BSW-002 solely because both mention Teesta.</x:v>
      </x:c>
    </x:row>
    <x:row r="8" ht="90" customHeight="1">
      <x:c r="A8" s="11" t="str">
        <x:v>BSW-007</x:v>
      </x:c>
      <x:c r="B8" s="11" t="str">
        <x:v>News</x:v>
      </x:c>
      <x:c r="C8" s="11" t="str">
        <x:v>The Business Standard</x:v>
      </x:c>
      <x:c r="D8" s="11" t="str">
        <x:v>Saving Shomeshwari: Ecology, economy, and the true cost of sand</x:v>
      </x:c>
      <x:c r="E8" s="12" t="d">
        <x:v>2025-12-25T00:00:00.000Z</x:v>
      </x:c>
      <x:c r="F8" s="11" t="str">
        <x:v>Published</x:v>
      </x:c>
      <x:c r="G8" s="11" t="str">
        <x:v>Netrokona</x:v>
      </x:c>
      <x:c r="H8" s="11" t="str">
        <x:v>Someshwari / Shomeshwari; Durgapur; Birishiri</x:v>
      </x:c>
      <x:c r="I8" s="11" t="str">
        <x:v>Sand; stone</x:v>
      </x:c>
      <x:c r="J8" s="11" t="str">
        <x:v>Extraction suspension; reported recovery; livelihoods</x:v>
      </x:c>
      <x:c r="K8" s="11" t="str">
        <x:v>English</x:v>
      </x:c>
      <x:c r="L8" s="11" t="str">
        <x:v>This feature describes residents' accounts of reduced extraction, returning fishing activity, and economic pressure after a reported suspension. It also reports concerns about nighttime extraction and future policy changes.</x:v>
      </x:c>
      <x:c r="M8" s="11" t="str">
        <x:v>উত্তোলন স্থগিত থাকার পর খনন কমা, মাছ ধরার তৎপরতা ফেরা এবং অর্থনৈতিক চাপ নিয়ে স্থানীয়দের অভিজ্ঞতা ফিচারটিতে তুলে ধরা হয়েছে। রাতে উত্তোলন ও ভবিষ্যৎ নীতিগত পরিবর্তন নিয়েও উদ্বেগ রয়েছে।</x:v>
      </x:c>
      <x:c r="N8" s="11" t="str">
        <x:v>Article text</x:v>
      </x:c>
      <x:c r="O8" s="11" t="str">
        <x:v>Verify recovery claims</x:v>
      </x:c>
      <x:c r="P8" s="13" t="str">
        <x:v>Pending</x:v>
      </x:c>
      <x:c r="Q8" s="13" t="str"/>
      <x:c r="R8" s="11" t="str"/>
      <x:c r="S8" s="12" t="d">
        <x:v>2026-06-25T00:00:00.000Z</x:v>
      </x:c>
      <x:c r="T8" s="11" t="str">
        <x:v>https://www.tbsnews.net/features/panorama/saving-shomeshwari-ecology-economy-and-true-cost-sand-1318481</x:v>
      </x:c>
      <x:c r="U8" s="11" t="str"/>
      <x:c r="V8" s="11" t="str">
        <x:v>Reported recovery is not a measured ecological trend. Verify the court order and suspension dates. Normalize Shomeshwari and Someshwari as aliases without changing the original title.</x:v>
      </x:c>
    </x:row>
    <x:row r="9" ht="90" customHeight="1">
      <x:c r="A9" s="11" t="str">
        <x:v>BSW-008</x:v>
      </x:c>
      <x:c r="B9" s="11" t="str">
        <x:v>Editorial</x:v>
      </x:c>
      <x:c r="C9" s="11" t="str">
        <x:v>The Daily Star</x:v>
      </x:c>
      <x:c r="D9" s="11" t="str">
        <x:v>Why can’t we stop illegal sand mining?</x:v>
      </x:c>
      <x:c r="E9" s="12" t="d">
        <x:v>2025-10-25T00:00:00.000Z</x:v>
      </x:c>
      <x:c r="F9" s="11" t="str">
        <x:v>Updated</x:v>
      </x:c>
      <x:c r="G9" s="11" t="str">
        <x:v>Munshiganj; Narayanganj; others</x:v>
      </x:c>
      <x:c r="H9" s="11" t="str">
        <x:v>Meghna and other rivers</x:v>
      </x:c>
      <x:c r="I9" s="11" t="str">
        <x:v>Sand</x:v>
      </x:c>
      <x:c r="J9" s="11" t="str">
        <x:v>Enforcement; political influence; governance</x:v>
      </x:c>
      <x:c r="K9" s="11" t="str">
        <x:v>English</x:v>
      </x:c>
      <x:c r="L9" s="11" t="str">
        <x:v>The editorial discusses reported extraction outside licensed areas and argues for stronger enforcement, lease cancellation, accountability, and interagency coordination. Its recommendations and interpretations should remain labeled as editorial opinion.</x:v>
      </x:c>
      <x:c r="M9" s="11" t="str">
        <x:v>সম্পাদকীয়টি ইজারার সীমানার বাইরে উত্তোলনের খবর আলোচনা করে কঠোর প্রয়োগ, ইজারা বাতিল, জবাবদিহি ও আন্তঃসংস্থা সমন্বয়ের পক্ষে যুক্তি দেয়। এর সুপারিশ ও ব্যাখ্যাগুলোকে সম্পাদকীয় মতামত হিসেবে চিহ্নিত রাখতে হবে।</x:v>
      </x:c>
      <x:c r="N9" s="11" t="str">
        <x:v>Editorial text</x:v>
      </x:c>
      <x:c r="O9" s="11" t="str">
        <x:v>Opinion</x:v>
      </x:c>
      <x:c r="P9" s="13" t="str">
        <x:v>Pending</x:v>
      </x:c>
      <x:c r="Q9" s="13" t="str"/>
      <x:c r="R9" s="11" t="str"/>
      <x:c r="S9" s="12"/>
      <x:c r="T9" s="11" t="str">
        <x:v>https://www.thedailystar.net/opinion/editorial/news/why-cant-we-stop-illegal-sand-mining-4017971</x:v>
      </x:c>
      <x:c r="U9" s="11" t="str"/>
      <x:c r="V9" s="11" t="str">
        <x:v>Linked news reports should become separate records if collected. An editorial is not independent confirmation of the underlying incidents.</x:v>
      </x:c>
    </x:row>
    <x:row r="10" ht="90" customHeight="1">
      <x:c r="A10" s="11" t="str">
        <x:v>BSW-009</x:v>
      </x:c>
      <x:c r="B10" s="11" t="str">
        <x:v>Context</x:v>
      </x:c>
      <x:c r="C10" s="11" t="str">
        <x:v>The Climate Watch</x:v>
      </x:c>
      <x:c r="D10" s="11" t="str">
        <x:v>Teesta river dries up, threatening northern livelihoods</x:v>
      </x:c>
      <x:c r="E10" s="12" t="d">
        <x:v>2026-01-01T00:00:00.000Z</x:v>
      </x:c>
      <x:c r="F10" s="11" t="str">
        <x:v>Published</x:v>
      </x:c>
      <x:c r="G10" s="11" t="str">
        <x:v>Nilphamari; Lalmonirhat; Rangpur</x:v>
      </x:c>
      <x:c r="H10" s="11" t="str">
        <x:v>Teesta; Dimla; Hatibandha</x:v>
      </x:c>
      <x:c r="I10" s="11" t="str">
        <x:v>Sand</x:v>
      </x:c>
      <x:c r="J10" s="11" t="str">
        <x:v>Water scarcity; erosion; extraction; river management</x:v>
      </x:c>
      <x:c r="K10" s="11" t="str">
        <x:v>English</x:v>
      </x:c>
      <x:c r="L10" s="11" t="str">
        <x:v>A broader Teesta livelihoods report includes allegations that mechanized sand extraction worsens erosion. Retain it as contextual coverage because water-sharing, floods, and river management occupy much of the article.</x:v>
      </x:c>
      <x:c r="M10" s="11" t="str">
        <x:v>তিস্তার জীবিকা নিয়ে বিস্তৃত প্রতিবেদনে যান্ত্রিক বালু উত্তোলনে ভাঙন বাড়ার অভিযোগ রয়েছে। পানি বণ্টন, বন্যা ও নদী ব্যবস্থাপনা আলোচনার বড় অংশ হওয়ায় এটিকে প্রাসঙ্গিক পটভূমির প্রতিবেদন হিসেবে রাখা হয়েছে।</x:v>
      </x:c>
      <x:c r="N10" s="11" t="str">
        <x:v>Article text</x:v>
      </x:c>
      <x:c r="O10" s="11" t="str">
        <x:v>Context</x:v>
      </x:c>
      <x:c r="P10" s="13" t="str">
        <x:v>Pending</x:v>
      </x:c>
      <x:c r="Q10" s="13" t="str"/>
      <x:c r="R10" s="11" t="str"/>
      <x:c r="S10" s="12"/>
      <x:c r="T10" s="11" t="str">
        <x:v>https://theclimatewatch.com/teesta-river-dries-up-threatening-northern-livelihoods/</x:v>
      </x:c>
      <x:c r="U10" s="11" t="str"/>
      <x:c r="V10" s="11" t="str">
        <x:v>Include secondary extraction coverage, but distinguish it from an extraction incident report.</x:v>
      </x:c>
    </x:row>
    <x:row r="11" ht="90" customHeight="1">
      <x:c r="A11" s="11" t="str">
        <x:v>BSW-010</x:v>
      </x:c>
      <x:c r="B11" s="11" t="str">
        <x:v>Research</x:v>
      </x:c>
      <x:c r="C11" s="11" t="str">
        <x:v>LSE Press / JIED</x:v>
      </x:c>
      <x:c r="D11" s="11" t="str">
        <x:v>Legal and Illicit Sand Mining Practice in Bangladesh: Exploring Supply Chain and its Value</x:v>
      </x:c>
      <x:c r="E11" s="12" t="d">
        <x:v>2022-09-28T00:00:00.000Z</x:v>
      </x:c>
      <x:c r="F11" s="11" t="str">
        <x:v>Published</x:v>
      </x:c>
      <x:c r="G11" s="11" t="str">
        <x:v>Multiple</x:v>
      </x:c>
      <x:c r="H11" s="11" t="str">
        <x:v>Meghna; Brahmaputra; Jinjiram</x:v>
      </x:c>
      <x:c r="I11" s="11" t="str">
        <x:v>Sand</x:v>
      </x:c>
      <x:c r="J11" s="11" t="str">
        <x:v>Supply chains; value addition; community perceptions</x:v>
      </x:c>
      <x:c r="K11" s="11" t="str">
        <x:v>English</x:v>
      </x:c>
      <x:c r="L11" s="11" t="str">
        <x:v>Bari and Haque compare supply chains, value addition, and community perceptions across three river basins using surveys and interviews. The paper differentiates legal and illicit extraction settings and discusses policy implications.</x:v>
      </x:c>
      <x:c r="M11" s="11" t="str">
        <x:v>বারী ও হক তিনটি নদী অববাহিকায় জরিপ ও সাক্ষাৎকারের মাধ্যমে সরবরাহশৃঙ্খল, মূল্য সংযোজন ও স্থানীয় মানুষের ধারণা তুলনা করেন। গবেষণাটি বৈধ ও অবৈধ উত্তোলনের প্রেক্ষাপট পৃথক করে নীতিগত তাৎপর্য আলোচনা করে।</x:v>
      </x:c>
      <x:c r="N11" s="11" t="str">
        <x:v>Publisher page; abstract and article text available</x:v>
      </x:c>
      <x:c r="O11" s="11" t="str">
        <x:v>Check study scope</x:v>
      </x:c>
      <x:c r="P11" s="13" t="str">
        <x:v>Pending</x:v>
      </x:c>
      <x:c r="Q11" s="13" t="str"/>
      <x:c r="R11" s="11" t="str">
        <x:v>10.31389/jied.149</x:v>
      </x:c>
      <x:c r="S11" s="12"/>
      <x:c r="T11" s="11" t="str">
        <x:v>https://jied.lse.ac.uk/articles/10.31389/jied.149</x:v>
      </x:c>
      <x:c r="U11" s="11" t="str">
        <x:v>https://www.econstor.eu/handle/10419/320646</x:v>
      </x:c>
      <x:c r="V11" s="11" t="str">
        <x:v>EconStor is the same scholarly work, confirmed by DOI. Count one work and preserve the repository as an alternate source. Pilot summary is based on the abstract, not a full critical appraisal.</x:v>
      </x:c>
    </x:row>
    <x:row r="12" ht="90" customHeight="1">
      <x:c r="A12" s="11" t="str">
        <x:v>BSW-011</x:v>
      </x:c>
      <x:c r="B12" s="11" t="str">
        <x:v>Research</x:v>
      </x:c>
      <x:c r="C12" s="11" t="str">
        <x:v>Wiley Online Library</x:v>
      </x:c>
      <x:c r="D12" s="11" t="str">
        <x:v>Sand Mining, Non-Farm Employment and a Local Labour Force in Rural Bangladesh</x:v>
      </x:c>
      <x:c r="E12" s="12" t="d">
        <x:v>2024-11-14T00:00:00.000Z</x:v>
      </x:c>
      <x:c r="F12" s="11" t="str">
        <x:v>First online</x:v>
      </x:c>
      <x:c r="G12" s="11" t="str">
        <x:v>Jamalpur</x:v>
      </x:c>
      <x:c r="H12" s="11" t="str">
        <x:v>Brahmaputra</x:v>
      </x:c>
      <x:c r="I12" s="11" t="str">
        <x:v>Sand</x:v>
      </x:c>
      <x:c r="J12" s="11" t="str">
        <x:v>Employment; livelihoods; mechanization</x:v>
      </x:c>
      <x:c r="K12" s="11" t="str">
        <x:v>English</x:v>
      </x:c>
      <x:c r="L12" s="11" t="str">
        <x:v>Hatlebakk, Rahman, and Suykens examine sand mining as a source of livelihood diversification near Jamalpur. The abstract describes a largely local workforce and discusses how mechanization may affect sand workers.</x:v>
      </x:c>
      <x:c r="M12" s="11" t="str">
        <x:v>হাটলেবাক, রহমান ও সুইকেন্স জামালপুরের কাছে জীবিকার বহুমুখীকরণে বালু উত্তোলনের ভূমিকা পরীক্ষা করেন। সারসংক্ষেপে প্রধানত স্থানীয় শ্রমশক্তি এবং যান্ত্রিকীকরণ শ্রমিকদের ওপর কী প্রভাব ফেলতে পারে তা আলোচনা করা হয়েছে।</x:v>
      </x:c>
      <x:c r="N12" s="11" t="str">
        <x:v>Abstract and publication metadata</x:v>
      </x:c>
      <x:c r="O12" s="11" t="str">
        <x:v>Abstract only</x:v>
      </x:c>
      <x:c r="P12" s="13" t="str">
        <x:v>Pending</x:v>
      </x:c>
      <x:c r="Q12" s="13" t="str"/>
      <x:c r="R12" s="11" t="str">
        <x:v>10.1002/jid.3966</x:v>
      </x:c>
      <x:c r="S12" s="12" t="d">
        <x:v>2025-03-01T00:00:00.000Z</x:v>
      </x:c>
      <x:c r="T12" s="11" t="str">
        <x:v>https://onlinelibrary.wiley.com/doi/full/10.1002/jid.3966</x:v>
      </x:c>
      <x:c r="U12" s="11" t="str"/>
      <x:c r="V12" s="11" t="str">
        <x:v>Online date is 2024; issue metadata is March 2025. Do not count these as separate publications. Full article was not reviewed.</x:v>
      </x:c>
    </x:row>
    <x:row r="13" ht="90" customHeight="1">
      <x:c r="A13" s="11" t="str">
        <x:v>BSW-012</x:v>
      </x:c>
      <x:c r="B13" s="11" t="str">
        <x:v>Research</x:v>
      </x:c>
      <x:c r="C13" s="11" t="str">
        <x:v>Wiley Online Library</x:v>
      </x:c>
      <x:c r="D13" s="11" t="str">
        <x:v>Morpho-ecological changes and socioeconomic impacts due to sand mining in the Someshwari River, Bangladesh</x:v>
      </x:c>
      <x:c r="E13" s="12" t="d">
        <x:v>2026-03-03T00:00:00.000Z</x:v>
      </x:c>
      <x:c r="F13" s="11" t="str">
        <x:v>First online</x:v>
      </x:c>
      <x:c r="G13" s="11" t="str">
        <x:v>Netrokona</x:v>
      </x:c>
      <x:c r="H13" s="11" t="str">
        <x:v>Someshwari</x:v>
      </x:c>
      <x:c r="I13" s="11" t="str">
        <x:v>Sand</x:v>
      </x:c>
      <x:c r="J13" s="11" t="str">
        <x:v>Channel change; environmental impacts; livelihoods</x:v>
      </x:c>
      <x:c r="K13" s="11" t="str">
        <x:v>English</x:v>
      </x:c>
      <x:c r="L13" s="11" t="str">
        <x:v>This study combines remote sensing, field and laboratory measurements, and social research to examine extraction impacts on the Someshwari. Its abstract reports channel changes, pollution indicators, and livelihood concerns.</x:v>
      </x:c>
      <x:c r="M13" s="11" t="str">
        <x:v>গবেষণাটি সোমেশ্বরীতে উত্তোলনের প্রভাব পরীক্ষা করতে দূর অনুধাবন, মাঠ ও পরীক্ষাগারের পরিমাপ এবং সামাজিক গবেষণা একত্র করে। সারসংক্ষেপে নদীর পরিবর্তন, দূষণের সূচক ও জীবিকা নিয়ে উদ্বেগের কথা রয়েছে।</x:v>
      </x:c>
      <x:c r="N13" s="11" t="str">
        <x:v>Abstract and publication metadata</x:v>
      </x:c>
      <x:c r="O13" s="11" t="str">
        <x:v>Abstract only</x:v>
      </x:c>
      <x:c r="P13" s="13" t="str">
        <x:v>Pending</x:v>
      </x:c>
      <x:c r="Q13" s="13" t="str"/>
      <x:c r="R13" s="11" t="str">
        <x:v>10.1111/sjtg.70064</x:v>
      </x:c>
      <x:c r="S13" s="12" t="d">
        <x:v>2026-05-01T00:00:00.000Z</x:v>
      </x:c>
      <x:c r="T13" s="11" t="str">
        <x:v>https://onlinelibrary.wiley.com/doi/10.1111/sjtg.70064</x:v>
      </x:c>
      <x:c r="U13" s="11" t="str"/>
      <x:c r="V13" s="11" t="str">
        <x:v>First online date differs from the May 2026 issue date. Numerical findings were not independently checked and are not extracted into structured fields.</x:v>
      </x:c>
    </x:row>
    <x:row r="14" ht="90" customHeight="1">
      <x:c r="A14" s="11" t="str">
        <x:v>BSW-013</x:v>
      </x:c>
      <x:c r="B14" s="11" t="str">
        <x:v>Project</x:v>
      </x:c>
      <x:c r="C14" s="11" t="str">
        <x:v>Chr. Michelsen Institute</x:v>
      </x:c>
      <x:c r="D14" s="11" t="str">
        <x:v>The political economy of river sand mining in South Asia</x:v>
      </x:c>
      <x:c r="E14" s="12"/>
      <x:c r="F14" s="11" t="str">
        <x:v>Page date not stated</x:v>
      </x:c>
      <x:c r="G14" s="11" t="str">
        <x:v>Bangladesh; regional study</x:v>
      </x:c>
      <x:c r="H14" s="11" t="str">
        <x:v>Ganga–Brahmaputra–Meghna basin</x:v>
      </x:c>
      <x:c r="I14" s="11" t="str">
        <x:v>Sand</x:v>
      </x:c>
      <x:c r="J14" s="11" t="str">
        <x:v>Governance; power; labor; livelihoods</x:v>
      </x:c>
      <x:c r="K14" s="11" t="str">
        <x:v>English</x:v>
      </x:c>
      <x:c r="L14" s="11" t="str">
        <x:v>CMI describes a project examining sand governance in Bangladesh, India, and Nepal through fieldwork and household surveys. It studies power, capital, labor, and livelihoods and provides links to related outputs.</x:v>
      </x:c>
      <x:c r="M14" s="11" t="str">
        <x:v>সিএমআইয়ের প্রকল্পটি মাঠকাজ ও পারিবারিক জরিপের মাধ্যমে বাংলাদেশ, ভারত ও নেপালে বালু ব্যবস্থাপনা পরীক্ষা করে। এতে ক্ষমতা, পুঁজি, শ্রম ও জীবিকা আলোচনার পাশাপাশি সংশ্লিষ্ট গবেষণার সংযোগ রয়েছে।</x:v>
      </x:c>
      <x:c r="N14" s="11" t="str">
        <x:v>Project description</x:v>
      </x:c>
      <x:c r="O14" s="11" t="str">
        <x:v>Project date</x:v>
      </x:c>
      <x:c r="P14" s="13" t="str">
        <x:v>Pending</x:v>
      </x:c>
      <x:c r="Q14" s="13" t="str"/>
      <x:c r="R14" s="11" t="str"/>
      <x:c r="S14" s="12"/>
      <x:c r="T14" s="11" t="str">
        <x:v>https://www.cmi.no/projects/2512-the-political-economy-of-river-sand-mining-in-south-asia-a-commodity-chain-approach</x:v>
      </x:c>
      <x:c r="U14" s="11" t="str"/>
      <x:c r="V14" s="11" t="str">
        <x:v>Timeframe August 2020–October 2023 is the project period, not a verified publication date. Linked publications need individual records and DOI checks.</x:v>
      </x:c>
    </x:row>
    <x:row r="15" ht="90" customHeight="1">
      <x:c r="A15" s="11" t="str">
        <x:v>BSW-014</x:v>
      </x:c>
      <x:c r="B15" s="11" t="str">
        <x:v>Law</x:v>
      </x:c>
      <x:c r="C15" s="11" t="str">
        <x:v>Laws of Bangladesh</x:v>
      </x:c>
      <x:c r="D15" s="11" t="str">
        <x:v>বালুমহাল ও মাটি ব্যবস্থাপনা আইন, ২০১০</x:v>
      </x:c>
      <x:c r="E15" s="12"/>
      <x:c r="F15" s="11" t="str">
        <x:v>Act year 2010; consolidated text</x:v>
      </x:c>
      <x:c r="G15" s="11" t="str">
        <x:v>National</x:v>
      </x:c>
      <x:c r="H15" s="11" t="str">
        <x:v>National jurisdiction</x:v>
      </x:c>
      <x:c r="I15" s="11" t="str">
        <x:v>Sand; soil</x:v>
      </x:c>
      <x:c r="J15" s="11" t="str">
        <x:v>Leasing; restrictions; administration; enforcement</x:v>
      </x:c>
      <x:c r="K15" s="11" t="str">
        <x:v>Bangla</x:v>
      </x:c>
      <x:c r="L15" s="11" t="str">
        <x:v>The official consolidated law sets out the framework for balumahal management, extraction restrictions, leasing, and enforcement. Amendment annotations show that this page incorporates later changes and is not the original 2010 text alone.</x:v>
      </x:c>
      <x:c r="M15" s="11" t="str">
        <x:v>সরকারি সংকলিত আইনে বালুমহাল ব্যবস্থাপনা, উত্তোলনের বিধিনিষেধ, ইজারা ও প্রয়োগের কাঠামো রয়েছে। সংশোধনীর টীকা দেখায় যে এতে পরবর্তী পরিবর্তনও যুক্ত হয়েছে। এটি কেবল ২০১০ সালের মূল পাঠ নয়।</x:v>
      </x:c>
      <x:c r="N15" s="11" t="str">
        <x:v>Official consolidated HTML text</x:v>
      </x:c>
      <x:c r="O15" s="11" t="str">
        <x:v>Version</x:v>
      </x:c>
      <x:c r="P15" s="13" t="str">
        <x:v>Pending</x:v>
      </x:c>
      <x:c r="Q15" s="13" t="str"/>
      <x:c r="R15" s="11" t="str">
        <x:v>Act 62 of 2010</x:v>
      </x:c>
      <x:c r="S15" s="12"/>
      <x:c r="T15" s="11" t="str">
        <x:v>https://bdlaws.minlaw.gov.bd/act-print-1066.html</x:v>
      </x:c>
      <x:c r="U15" s="11" t="str"/>
      <x:c r="V15" s="11" t="str">
        <x:v>First act-details scrape was garbled. Print view recovered readable text. The page's current print date must not become the law's enactment date.</x:v>
      </x:c>
    </x:row>
    <x:row r="16" ht="90" customHeight="1">
      <x:c r="A16" s="11" t="str">
        <x:v>BSW-015</x:v>
      </x:c>
      <x:c r="B16" s="11" t="str">
        <x:v>Law</x:v>
      </x:c>
      <x:c r="C16" s="11" t="str">
        <x:v>Laws of Bangladesh</x:v>
      </x:c>
      <x:c r="D16" s="11" t="str">
        <x:v>বালুমহাল ও মাটি ব্যবস্থাপনা (সংশোধন) আইন, ২০২৩</x:v>
      </x:c>
      <x:c r="E16" s="12" t="d">
        <x:v>2023-09-18T00:00:00.000Z</x:v>
      </x:c>
      <x:c r="F16" s="11" t="str">
        <x:v>Act date</x:v>
      </x:c>
      <x:c r="G16" s="11" t="str">
        <x:v>National</x:v>
      </x:c>
      <x:c r="H16" s="11" t="str">
        <x:v>National jurisdiction</x:v>
      </x:c>
      <x:c r="I16" s="11" t="str">
        <x:v>Sand; soil</x:v>
      </x:c>
      <x:c r="J16" s="11" t="str">
        <x:v>Amendment; leasing; extraction restrictions</x:v>
      </x:c>
      <x:c r="K16" s="11" t="str">
        <x:v>Bangla</x:v>
      </x:c>
      <x:c r="L16" s="11" t="str">
        <x:v>The official 2023 amendment changes provisions of the 2010 balumahal law, including extraction restrictions, leasing arrangements, and administrative powers. Keep this amendment linked to the consolidated law as a distinct legal instrument.</x:v>
      </x:c>
      <x:c r="M16" s="11" t="str">
        <x:v>সরকারি ২০২৩ সালের সংশোধনীতে ২০১০ সালের বালুমহাল আইনের উত্তোলনের বিধিনিষেধ, ইজারা ও প্রশাসনিক ক্ষমতাসহ বিভিন্ন বিধান পরিবর্তিত হয়েছে। এটিকে সংকলিত আইনের সঙ্গে যুক্ত পৃথক আইনগত দলিল হিসেবে রাখতে হবে।</x:v>
      </x:c>
      <x:c r="N16" s="11" t="str">
        <x:v>Official amendment HTML text</x:v>
      </x:c>
      <x:c r="O16" s="11" t="str">
        <x:v>Legal detail</x:v>
      </x:c>
      <x:c r="P16" s="13" t="str">
        <x:v>Pending</x:v>
      </x:c>
      <x:c r="Q16" s="13" t="str"/>
      <x:c r="R16" s="11" t="str">
        <x:v>Act 35 of 2023</x:v>
      </x:c>
      <x:c r="S16" s="12"/>
      <x:c r="T16" s="11" t="str">
        <x:v>https://bdlaws.minlaw.gov.bd/act-print-1453.html</x:v>
      </x:c>
      <x:c r="U16" s="11" t="str"/>
      <x:c r="V16" s="11" t="str">
        <x:v>Linked to BSW-014. Detailed legal interpretation is outside this collection pilot.</x:v>
      </x:c>
    </x:row>
    <x:row r="17" ht="90" customHeight="1">
      <x:c r="A17" s="11" t="str">
        <x:v>BSW-016</x:v>
      </x:c>
      <x:c r="B17" s="11" t="str">
        <x:v>Rules</x:v>
      </x:c>
      <x:c r="C17" s="11" t="str">
        <x:v>Ministry of Land</x:v>
      </x:c>
      <x:c r="D17" s="11" t="str">
        <x:v>বালুমহাল ও মাটি ব্যবস্থাপনা বিধিমালা, ২০২৫</x:v>
      </x:c>
      <x:c r="E17" s="12" t="d">
        <x:v>2025-11-24T00:00:00.000Z</x:v>
      </x:c>
      <x:c r="F17" s="11" t="str">
        <x:v>Notification issued; notice posted</x:v>
      </x:c>
      <x:c r="G17" s="11" t="str">
        <x:v>National</x:v>
      </x:c>
      <x:c r="H17" s="11" t="str">
        <x:v>National jurisdiction</x:v>
      </x:c>
      <x:c r="I17" s="11" t="str">
        <x:v>Sand; soil</x:v>
      </x:c>
      <x:c r="J17" s="11" t="str">
        <x:v>Rules; surveying; definitions; leasing</x:v>
      </x:c>
      <x:c r="K17" s="11" t="str">
        <x:v>Bangla</x:v>
      </x:c>
      <x:c r="L17" s="11" t="str">
        <x:v>The Ministry notice links to the 2025 balumahal rules. The PDF opening identifies SRO 453-Law/2025, issued November 24, with a November 26 gazette heading. Only the first four of 35 pages were parsed.</x:v>
      </x:c>
      <x:c r="M17" s="11" t="str">
        <x:v>মন্ত্রণালয়ের নোটিশে ২০২৫ সালের বালুমহাল বিধিমালার সংযোগ রয়েছে। পিডিএফের শুরুতে এসআরও ৪৫৩-আইন/২০২৫, ২৪ নভেম্বর জারির তারিখ এবং ২৬ নভেম্বরের গেজেট শিরোনাম পাওয়া যায়। ৩৫ পাতার প্রথম চারটি পার্স করা হয়েছে।</x:v>
      </x:c>
      <x:c r="N17" s="11" t="str">
        <x:v>Official notice; PDF pages 1–4 of 35</x:v>
      </x:c>
      <x:c r="O17" s="11" t="str">
        <x:v>OCR</x:v>
      </x:c>
      <x:c r="P17" s="13" t="str">
        <x:v>Pending</x:v>
      </x:c>
      <x:c r="Q17" s="13" t="str"/>
      <x:c r="R17" s="11" t="str">
        <x:v>SRO 453-Law/2025</x:v>
      </x:c>
      <x:c r="S17" s="12" t="d">
        <x:v>2025-11-26T00:00:00.000Z</x:v>
      </x:c>
      <x:c r="T17" s="11" t="str">
        <x:v>https://minland.gov.bd/pages/notices/6940363835ce18e1c058289c</x:v>
      </x:c>
      <x:c r="U17" s="11" t="str">
        <x:v>https://objectstorage.ap-dcc-gazipur-1.oraclecloud15.com/n/axvjbnqprylg/b/V2Ministry/o/office-minland/2024/12/ad7c9ff27078467ca2404e5ffbb07613.pdf</x:v>
      </x:c>
      <x:c r="V17" s="11" t="str">
        <x:v>OCR is readable at the beginning but degrades on later parsed pages. Do not infer commencement or summarize unread rules. Effective date remains unverified. A separate laws listing is a possible mirror.</x:v>
      </x:c>
    </x:row>
    <x:row r="18" ht="90" customHeight="1">
      <x:c r="A18" s="11" t="str">
        <x:v>BSW-017</x:v>
      </x:c>
      <x:c r="B18" s="11" t="str">
        <x:v>Lease</x:v>
      </x:c>
      <x:c r="C18" s="11" t="str">
        <x:v>Sunamganj district administration</x:v>
      </x:c>
      <x:c r="D18" s="11" t="str">
        <x:v>১৪৩৩ বঙ্গাব্দে বালুমহাল ইজারার জন্য উন্মুক্ত দরপত্র বিজ্ঞপ্তি</x:v>
      </x:c>
      <x:c r="E18" s="12" t="d">
        <x:v>2026-01-20T00:00:00.000Z</x:v>
      </x:c>
      <x:c r="F18" s="11" t="str">
        <x:v>Notice posted</x:v>
      </x:c>
      <x:c r="G18" s="11" t="str">
        <x:v>Sunamganj</x:v>
      </x:c>
      <x:c r="H18" s="11" t="str">
        <x:v>Sunamganj balumahal lease areas</x:v>
      </x:c>
      <x:c r="I18" s="11" t="str">
        <x:v>Sand</x:v>
      </x:c>
      <x:c r="J18" s="11" t="str">
        <x:v>Tender; leasing; district administration</x:v>
      </x:c>
      <x:c r="K18" s="11" t="str">
        <x:v>Bangla</x:v>
      </x:c>
      <x:c r="L18" s="11" t="str">
        <x:v>The district portal advertises an open tender for balumahal leases for Bangla year 1433. The linked PDF contains a schedule and lease-area table, but extraction errors prevent reliable transcription of dates and amounts.</x:v>
      </x:c>
      <x:c r="M18" s="11" t="str">
        <x:v>জেলা পোর্টালে ১৪৩৩ বঙ্গাব্দের বালুমহাল ইজারার উন্মুক্ত দরপত্র বিজ্ঞপ্তি রয়েছে। সংযুক্ত পিডিএফে সময়সূচি ও ইজারার এলাকার তালিকা আছে। পাঠোদ্ধারের ত্রুটির কারণে তারিখ ও অর্থ নির্ভরযোগ্যভাবে প্রতিলিপি করা যায়নি।</x:v>
      </x:c>
      <x:c r="N18" s="11" t="str">
        <x:v>Official notice; PDF pages 1–2 of 4</x:v>
      </x:c>
      <x:c r="O18" s="11" t="str">
        <x:v>OCR</x:v>
      </x:c>
      <x:c r="P18" s="13" t="str">
        <x:v>Pending</x:v>
      </x:c>
      <x:c r="Q18" s="13" t="str"/>
      <x:c r="R18" s="11" t="str"/>
      <x:c r="S18" s="12"/>
      <x:c r="T18" s="11" t="str">
        <x:v>https://sunamganj.gov.bd/pages/notices/6971d87435ce18e1c05e054f</x:v>
      </x:c>
      <x:c r="U18" s="11" t="str">
        <x:v>https://objectstorage.ap-dcc-gazipur-1.oraclecloud15.com/n/axvjbnqprylg/b/V2Ministry/o/office-sunamganj/2024/12/8cb4dd1037f344dc8a7328deb4eb8337.pdf</x:v>
      </x:c>
      <x:c r="V18" s="11" t="str">
        <x:v>Use portal posting date. PDF extraction includes impossible dates and corrupted names. Lease prices, acreage, award outcomes, and tender deadlines remain unverified.</x:v>
      </x:c>
    </x:row>
    <x:row r="19">
      <x:c r="A19" s="2"/>
      <x:c r="B19" s="2"/>
      <x:c r="C19" s="2"/>
      <x:c r="D19" s="2"/>
      <x:c r="E19" s="2"/>
      <x:c r="F19" s="2"/>
      <x:c r="G19" s="2"/>
      <x:c r="H19" s="2"/>
      <x:c r="I19" s="2"/>
      <x:c r="J19" s="2"/>
      <x:c r="K19" s="2"/>
      <x:c r="L19" s="2"/>
      <x:c r="M19" s="2"/>
      <x:c r="N19" s="2"/>
      <x:c r="O19" s="2"/>
      <x:c r="P19" s="2"/>
      <x:c r="Q19" s="2"/>
      <x:c r="R19" s="2"/>
      <x:c r="S19" s="2"/>
      <x:c r="T19" s="2"/>
      <x:c r="U19" s="2"/>
      <x:c r="V19" s="2"/>
    </x:row>
    <x:row r="20">
      <x:c r="A20" s="2"/>
      <x:c r="B20" s="2"/>
      <x:c r="C20" s="2"/>
      <x:c r="D20" s="2"/>
      <x:c r="E20" s="2"/>
      <x:c r="F20" s="2"/>
      <x:c r="G20" s="2"/>
      <x:c r="H20" s="2"/>
      <x:c r="I20" s="2"/>
      <x:c r="J20" s="2"/>
      <x:c r="K20" s="2"/>
      <x:c r="L20" s="2"/>
      <x:c r="M20" s="2"/>
      <x:c r="N20" s="2"/>
      <x:c r="O20" s="2"/>
      <x:c r="P20" s="2"/>
      <x:c r="Q20" s="2"/>
      <x:c r="R20" s="2"/>
      <x:c r="S20" s="2"/>
      <x:c r="T20" s="2"/>
      <x:c r="U20" s="2"/>
      <x:c r="V20" s="2"/>
    </x:row>
    <x:row r="21">
      <x:c r="A21" s="2"/>
      <x:c r="B21" s="2"/>
      <x:c r="C21" s="2"/>
      <x:c r="D21" s="2"/>
      <x:c r="E21" s="2"/>
      <x:c r="F21" s="2"/>
      <x:c r="G21" s="2"/>
      <x:c r="H21" s="2"/>
      <x:c r="I21" s="2"/>
      <x:c r="J21" s="2"/>
      <x:c r="K21" s="2"/>
      <x:c r="L21" s="2"/>
      <x:c r="M21" s="2"/>
      <x:c r="N21" s="2"/>
      <x:c r="O21" s="2"/>
      <x:c r="P21" s="2"/>
      <x:c r="Q21" s="2"/>
      <x:c r="R21" s="2"/>
      <x:c r="S21" s="2"/>
      <x:c r="T21" s="2"/>
      <x:c r="U21" s="2"/>
      <x:c r="V21" s="2"/>
    </x:row>
    <x:row r="22">
      <x:c r="A22" s="2"/>
      <x:c r="B22" s="2"/>
      <x:c r="C22" s="2"/>
      <x:c r="D22" s="2"/>
      <x:c r="E22" s="2"/>
      <x:c r="F22" s="2"/>
      <x:c r="G22" s="2"/>
      <x:c r="H22" s="2"/>
      <x:c r="I22" s="2"/>
      <x:c r="J22" s="2"/>
      <x:c r="K22" s="2"/>
      <x:c r="L22" s="2"/>
      <x:c r="M22" s="2"/>
      <x:c r="N22" s="2"/>
      <x:c r="O22" s="2"/>
      <x:c r="P22" s="2"/>
      <x:c r="Q22" s="2"/>
      <x:c r="R22" s="2"/>
      <x:c r="S22" s="2"/>
      <x:c r="T22" s="2"/>
      <x:c r="U22" s="2"/>
      <x:c r="V22" s="2"/>
    </x:row>
    <x:row r="23">
      <x:c r="A23" s="2"/>
      <x:c r="B23" s="2"/>
      <x:c r="C23" s="2"/>
      <x:c r="D23" s="2"/>
      <x:c r="E23" s="2"/>
      <x:c r="F23" s="2"/>
      <x:c r="G23" s="2"/>
      <x:c r="H23" s="2"/>
      <x:c r="I23" s="2"/>
      <x:c r="J23" s="2"/>
      <x:c r="K23" s="2"/>
      <x:c r="L23" s="2"/>
      <x:c r="M23" s="2"/>
      <x:c r="N23" s="2"/>
      <x:c r="O23" s="2"/>
      <x:c r="P23" s="2"/>
      <x:c r="Q23" s="2"/>
      <x:c r="R23" s="2"/>
      <x:c r="S23" s="2"/>
      <x:c r="T23" s="2"/>
      <x:c r="U23" s="2"/>
      <x:c r="V23" s="2"/>
    </x:row>
    <x:row r="24">
      <x:c r="A24" s="2"/>
      <x:c r="B24" s="2"/>
      <x:c r="C24" s="2"/>
      <x:c r="D24" s="2"/>
      <x:c r="E24" s="2"/>
      <x:c r="F24" s="2"/>
      <x:c r="G24" s="2"/>
      <x:c r="H24" s="2"/>
      <x:c r="I24" s="2"/>
      <x:c r="J24" s="2"/>
      <x:c r="K24" s="2"/>
      <x:c r="L24" s="2"/>
      <x:c r="M24" s="2"/>
      <x:c r="N24" s="2"/>
      <x:c r="O24" s="2"/>
      <x:c r="P24" s="2"/>
      <x:c r="Q24" s="2"/>
      <x:c r="R24" s="2"/>
      <x:c r="S24" s="2"/>
      <x:c r="T24" s="2"/>
      <x:c r="U24" s="2"/>
      <x:c r="V24" s="2"/>
    </x:row>
    <x:row r="25">
      <x:c r="A25" s="2"/>
      <x:c r="B25" s="2"/>
      <x:c r="C25" s="2"/>
      <x:c r="D25" s="2"/>
      <x:c r="E25" s="2"/>
      <x:c r="F25" s="2"/>
      <x:c r="G25" s="2"/>
      <x:c r="H25" s="2"/>
      <x:c r="I25" s="2"/>
      <x:c r="J25" s="2"/>
      <x:c r="K25" s="2"/>
      <x:c r="L25" s="2"/>
      <x:c r="M25" s="2"/>
      <x:c r="N25" s="2"/>
      <x:c r="O25" s="2"/>
      <x:c r="P25" s="2"/>
      <x:c r="Q25" s="2"/>
      <x:c r="R25" s="2"/>
      <x:c r="S25" s="2"/>
      <x:c r="T25" s="2"/>
      <x:c r="U25" s="2"/>
      <x:c r="V25" s="2"/>
    </x:row>
    <x:row r="26">
      <x:c r="A26" s="2"/>
      <x:c r="B26" s="2"/>
      <x:c r="C26" s="2"/>
      <x:c r="D26" s="2"/>
      <x:c r="E26" s="2"/>
      <x:c r="F26" s="2"/>
      <x:c r="G26" s="2"/>
      <x:c r="H26" s="2"/>
      <x:c r="I26" s="2"/>
      <x:c r="J26" s="2"/>
      <x:c r="K26" s="2"/>
      <x:c r="L26" s="2"/>
      <x:c r="M26" s="2"/>
      <x:c r="N26" s="2"/>
      <x:c r="O26" s="2"/>
      <x:c r="P26" s="2"/>
      <x:c r="Q26" s="2"/>
      <x:c r="R26" s="2"/>
      <x:c r="S26" s="2"/>
      <x:c r="T26" s="2"/>
      <x:c r="U26" s="2"/>
      <x:c r="V26" s="2"/>
    </x:row>
    <x:row r="27">
      <x:c r="A27" s="2"/>
      <x:c r="B27" s="2"/>
      <x:c r="C27" s="2"/>
      <x:c r="D27" s="2"/>
      <x:c r="E27" s="2"/>
      <x:c r="F27" s="2"/>
      <x:c r="G27" s="2"/>
      <x:c r="H27" s="2"/>
      <x:c r="I27" s="2"/>
      <x:c r="J27" s="2"/>
      <x:c r="K27" s="2"/>
      <x:c r="L27" s="2"/>
      <x:c r="M27" s="2"/>
      <x:c r="N27" s="2"/>
      <x:c r="O27" s="2"/>
      <x:c r="P27" s="2"/>
      <x:c r="Q27" s="2"/>
      <x:c r="R27" s="2"/>
      <x:c r="S27" s="2"/>
      <x:c r="T27" s="2"/>
      <x:c r="U27" s="2"/>
      <x:c r="V27" s="2"/>
    </x:row>
    <x:row r="28">
      <x:c r="A28" s="2"/>
      <x:c r="B28" s="2"/>
      <x:c r="C28" s="2"/>
      <x:c r="D28" s="2"/>
      <x:c r="E28" s="2"/>
      <x:c r="F28" s="2"/>
      <x:c r="G28" s="2"/>
      <x:c r="H28" s="2"/>
      <x:c r="I28" s="2"/>
      <x:c r="J28" s="2"/>
      <x:c r="K28" s="2"/>
      <x:c r="L28" s="2"/>
      <x:c r="M28" s="2"/>
      <x:c r="N28" s="2"/>
      <x:c r="O28" s="2"/>
      <x:c r="P28" s="2"/>
      <x:c r="Q28" s="2"/>
      <x:c r="R28" s="2"/>
      <x:c r="S28" s="2"/>
      <x:c r="T28" s="2"/>
      <x:c r="U28" s="2"/>
      <x:c r="V28" s="2"/>
    </x:row>
    <x:row r="29">
      <x:c r="A29" s="2"/>
      <x:c r="B29" s="2"/>
      <x:c r="C29" s="2"/>
      <x:c r="D29" s="2"/>
      <x:c r="E29" s="2"/>
      <x:c r="F29" s="2"/>
      <x:c r="G29" s="2"/>
      <x:c r="H29" s="2"/>
      <x:c r="I29" s="2"/>
      <x:c r="J29" s="2"/>
      <x:c r="K29" s="2"/>
      <x:c r="L29" s="2"/>
      <x:c r="M29" s="2"/>
      <x:c r="N29" s="2"/>
      <x:c r="O29" s="2"/>
      <x:c r="P29" s="2"/>
      <x:c r="Q29" s="2"/>
      <x:c r="R29" s="2"/>
      <x:c r="S29" s="2"/>
      <x:c r="T29" s="2"/>
      <x:c r="U29" s="2"/>
      <x:c r="V29" s="2"/>
    </x:row>
    <x:row r="30">
      <x:c r="A30" s="2"/>
      <x:c r="B30" s="2"/>
      <x:c r="C30" s="2"/>
      <x:c r="D30" s="2"/>
      <x:c r="E30" s="2"/>
      <x:c r="F30" s="2"/>
      <x:c r="G30" s="2"/>
      <x:c r="H30" s="2"/>
      <x:c r="I30" s="2"/>
      <x:c r="J30" s="2"/>
      <x:c r="K30" s="2"/>
      <x:c r="L30" s="2"/>
      <x:c r="M30" s="2"/>
      <x:c r="N30" s="2"/>
      <x:c r="O30" s="2"/>
      <x:c r="P30" s="2"/>
      <x:c r="Q30" s="2"/>
      <x:c r="R30" s="2"/>
      <x:c r="S30" s="2"/>
      <x:c r="T30" s="2"/>
      <x:c r="U30" s="2"/>
      <x:c r="V30" s="2"/>
    </x:row>
    <x:row r="31">
      <x:c r="A31" s="2"/>
      <x:c r="B31" s="2"/>
      <x:c r="C31" s="2"/>
      <x:c r="D31" s="2"/>
      <x:c r="E31" s="2"/>
      <x:c r="F31" s="2"/>
      <x:c r="G31" s="2"/>
      <x:c r="H31" s="2"/>
      <x:c r="I31" s="2"/>
      <x:c r="J31" s="2"/>
      <x:c r="K31" s="2"/>
      <x:c r="L31" s="2"/>
      <x:c r="M31" s="2"/>
      <x:c r="N31" s="2"/>
      <x:c r="O31" s="2"/>
      <x:c r="P31" s="2"/>
      <x:c r="Q31" s="2"/>
      <x:c r="R31" s="2"/>
      <x:c r="S31" s="2"/>
      <x:c r="T31" s="2"/>
      <x:c r="U31" s="2"/>
      <x:c r="V31" s="2"/>
    </x:row>
    <x:row r="32">
      <x:c r="A32" s="2"/>
      <x:c r="B32" s="2"/>
      <x:c r="C32" s="2"/>
      <x:c r="D32" s="2"/>
      <x:c r="E32" s="2"/>
      <x:c r="F32" s="2"/>
      <x:c r="G32" s="2"/>
      <x:c r="H32" s="2"/>
      <x:c r="I32" s="2"/>
      <x:c r="J32" s="2"/>
      <x:c r="K32" s="2"/>
      <x:c r="L32" s="2"/>
      <x:c r="M32" s="2"/>
      <x:c r="N32" s="2"/>
      <x:c r="O32" s="2"/>
      <x:c r="P32" s="2"/>
      <x:c r="Q32" s="2"/>
      <x:c r="R32" s="2"/>
      <x:c r="S32" s="2"/>
      <x:c r="T32" s="2"/>
      <x:c r="U32" s="2"/>
      <x:c r="V32" s="2"/>
    </x:row>
    <x:row r="33">
      <x:c r="A33" s="2"/>
      <x:c r="B33" s="2"/>
      <x:c r="C33" s="2"/>
      <x:c r="D33" s="2"/>
      <x:c r="E33" s="2"/>
      <x:c r="F33" s="2"/>
      <x:c r="G33" s="2"/>
      <x:c r="H33" s="2"/>
      <x:c r="I33" s="2"/>
      <x:c r="J33" s="2"/>
      <x:c r="K33" s="2"/>
      <x:c r="L33" s="2"/>
      <x:c r="M33" s="2"/>
      <x:c r="N33" s="2"/>
      <x:c r="O33" s="2"/>
      <x:c r="P33" s="2"/>
      <x:c r="Q33" s="2"/>
      <x:c r="R33" s="2"/>
      <x:c r="S33" s="2"/>
      <x:c r="T33" s="2"/>
      <x:c r="U33" s="2"/>
      <x:c r="V33" s="2"/>
    </x:row>
    <x:row r="34">
      <x:c r="A34" s="2"/>
      <x:c r="B34" s="2"/>
      <x:c r="C34" s="2"/>
      <x:c r="D34" s="2"/>
      <x:c r="E34" s="2"/>
      <x:c r="F34" s="2"/>
      <x:c r="G34" s="2"/>
      <x:c r="H34" s="2"/>
      <x:c r="I34" s="2"/>
      <x:c r="J34" s="2"/>
      <x:c r="K34" s="2"/>
      <x:c r="L34" s="2"/>
      <x:c r="M34" s="2"/>
      <x:c r="N34" s="2"/>
      <x:c r="O34" s="2"/>
      <x:c r="P34" s="2"/>
      <x:c r="Q34" s="2"/>
      <x:c r="R34" s="2"/>
      <x:c r="S34" s="2"/>
      <x:c r="T34" s="2"/>
      <x:c r="U34" s="2"/>
      <x:c r="V34" s="2"/>
    </x:row>
    <x:row r="35">
      <x:c r="A35" s="2"/>
      <x:c r="B35" s="2"/>
      <x:c r="C35" s="2"/>
      <x:c r="D35" s="2"/>
      <x:c r="E35" s="2"/>
      <x:c r="F35" s="2"/>
      <x:c r="G35" s="2"/>
      <x:c r="H35" s="2"/>
      <x:c r="I35" s="2"/>
      <x:c r="J35" s="2"/>
      <x:c r="K35" s="2"/>
      <x:c r="L35" s="2"/>
      <x:c r="M35" s="2"/>
      <x:c r="N35" s="2"/>
      <x:c r="O35" s="2"/>
      <x:c r="P35" s="2"/>
      <x:c r="Q35" s="2"/>
      <x:c r="R35" s="2"/>
      <x:c r="S35" s="2"/>
      <x:c r="T35" s="2"/>
      <x:c r="U35" s="2"/>
      <x:c r="V35" s="2"/>
    </x:row>
    <x:row r="36">
      <x:c r="A36" s="2"/>
      <x:c r="B36" s="2"/>
      <x:c r="C36" s="2"/>
      <x:c r="D36" s="2"/>
      <x:c r="E36" s="2"/>
      <x:c r="F36" s="2"/>
      <x:c r="G36" s="2"/>
      <x:c r="H36" s="2"/>
      <x:c r="I36" s="2"/>
      <x:c r="J36" s="2"/>
      <x:c r="K36" s="2"/>
      <x:c r="L36" s="2"/>
      <x:c r="M36" s="2"/>
      <x:c r="N36" s="2"/>
      <x:c r="O36" s="2"/>
      <x:c r="P36" s="2"/>
      <x:c r="Q36" s="2"/>
      <x:c r="R36" s="2"/>
      <x:c r="S36" s="2"/>
      <x:c r="T36" s="2"/>
      <x:c r="U36" s="2"/>
      <x:c r="V36" s="2"/>
    </x:row>
    <x:row r="37">
      <x:c r="A37" s="2"/>
      <x:c r="B37" s="2"/>
      <x:c r="C37" s="2"/>
      <x:c r="D37" s="2"/>
      <x:c r="E37" s="2"/>
      <x:c r="F37" s="2"/>
      <x:c r="G37" s="2"/>
      <x:c r="H37" s="2"/>
      <x:c r="I37" s="2"/>
      <x:c r="J37" s="2"/>
      <x:c r="K37" s="2"/>
      <x:c r="L37" s="2"/>
      <x:c r="M37" s="2"/>
      <x:c r="N37" s="2"/>
      <x:c r="O37" s="2"/>
      <x:c r="P37" s="2"/>
      <x:c r="Q37" s="2"/>
      <x:c r="R37" s="2"/>
      <x:c r="S37" s="2"/>
      <x:c r="T37" s="2"/>
      <x:c r="U37" s="2"/>
      <x:c r="V37" s="2"/>
    </x:row>
    <x:row r="38">
      <x:c r="A38" s="2"/>
      <x:c r="B38" s="2"/>
      <x:c r="C38" s="2"/>
      <x:c r="D38" s="2"/>
      <x:c r="E38" s="2"/>
      <x:c r="F38" s="2"/>
      <x:c r="G38" s="2"/>
      <x:c r="H38" s="2"/>
      <x:c r="I38" s="2"/>
      <x:c r="J38" s="2"/>
      <x:c r="K38" s="2"/>
      <x:c r="L38" s="2"/>
      <x:c r="M38" s="2"/>
      <x:c r="N38" s="2"/>
      <x:c r="O38" s="2"/>
      <x:c r="P38" s="2"/>
      <x:c r="Q38" s="2"/>
      <x:c r="R38" s="2"/>
      <x:c r="S38" s="2"/>
      <x:c r="T38" s="2"/>
      <x:c r="U38" s="2"/>
      <x:c r="V38" s="2"/>
    </x:row>
    <x:row r="39">
      <x:c r="A39" s="2"/>
      <x:c r="B39" s="2"/>
      <x:c r="C39" s="2"/>
      <x:c r="D39" s="2"/>
      <x:c r="E39" s="2"/>
      <x:c r="F39" s="2"/>
      <x:c r="G39" s="2"/>
      <x:c r="H39" s="2"/>
      <x:c r="I39" s="2"/>
      <x:c r="J39" s="2"/>
      <x:c r="K39" s="2"/>
      <x:c r="L39" s="2"/>
      <x:c r="M39" s="2"/>
      <x:c r="N39" s="2"/>
      <x:c r="O39" s="2"/>
      <x:c r="P39" s="2"/>
      <x:c r="Q39" s="2"/>
      <x:c r="R39" s="2"/>
      <x:c r="S39" s="2"/>
      <x:c r="T39" s="2"/>
      <x:c r="U39" s="2"/>
      <x:c r="V39" s="2"/>
    </x:row>
    <x:row r="40">
      <x:c r="A40" s="2"/>
      <x:c r="B40" s="2"/>
      <x:c r="C40" s="2"/>
      <x:c r="D40" s="2"/>
      <x:c r="E40" s="2"/>
      <x:c r="F40" s="2"/>
      <x:c r="G40" s="2"/>
      <x:c r="H40" s="2"/>
      <x:c r="I40" s="2"/>
      <x:c r="J40" s="2"/>
      <x:c r="K40" s="2"/>
      <x:c r="L40" s="2"/>
      <x:c r="M40" s="2"/>
      <x:c r="N40" s="2"/>
      <x:c r="O40" s="2"/>
      <x:c r="P40" s="2"/>
      <x:c r="Q40" s="2"/>
      <x:c r="R40" s="2"/>
      <x:c r="S40" s="2"/>
      <x:c r="T40" s="2"/>
      <x:c r="U40" s="2"/>
      <x:c r="V40" s="2"/>
    </x:row>
    <x:row r="41">
      <x:c r="A41" s="2"/>
      <x:c r="B41" s="2"/>
      <x:c r="C41" s="2"/>
      <x:c r="D41" s="2"/>
      <x:c r="E41" s="2"/>
      <x:c r="F41" s="2"/>
      <x:c r="G41" s="2"/>
      <x:c r="H41" s="2"/>
      <x:c r="I41" s="2"/>
      <x:c r="J41" s="2"/>
      <x:c r="K41" s="2"/>
      <x:c r="L41" s="2"/>
      <x:c r="M41" s="2"/>
      <x:c r="N41" s="2"/>
      <x:c r="O41" s="2"/>
      <x:c r="P41" s="2"/>
      <x:c r="Q41" s="2"/>
      <x:c r="R41" s="2"/>
      <x:c r="S41" s="2"/>
      <x:c r="T41" s="2"/>
      <x:c r="U41" s="2"/>
      <x:c r="V41" s="2"/>
    </x:row>
    <x:row r="42">
      <x:c r="A42" s="2"/>
      <x:c r="B42" s="2"/>
      <x:c r="C42" s="2"/>
      <x:c r="D42" s="2"/>
      <x:c r="E42" s="2"/>
      <x:c r="F42" s="2"/>
      <x:c r="G42" s="2"/>
      <x:c r="H42" s="2"/>
      <x:c r="I42" s="2"/>
      <x:c r="J42" s="2"/>
      <x:c r="K42" s="2"/>
      <x:c r="L42" s="2"/>
      <x:c r="M42" s="2"/>
      <x:c r="N42" s="2"/>
      <x:c r="O42" s="2"/>
      <x:c r="P42" s="2"/>
      <x:c r="Q42" s="2"/>
      <x:c r="R42" s="2"/>
      <x:c r="S42" s="2"/>
      <x:c r="T42" s="2"/>
      <x:c r="U42" s="2"/>
      <x:c r="V42" s="2"/>
    </x:row>
    <x:row r="43">
      <x:c r="A43" s="2"/>
      <x:c r="B43" s="2"/>
      <x:c r="C43" s="2"/>
      <x:c r="D43" s="2"/>
      <x:c r="E43" s="2"/>
      <x:c r="F43" s="2"/>
      <x:c r="G43" s="2"/>
      <x:c r="H43" s="2"/>
      <x:c r="I43" s="2"/>
      <x:c r="J43" s="2"/>
      <x:c r="K43" s="2"/>
      <x:c r="L43" s="2"/>
      <x:c r="M43" s="2"/>
      <x:c r="N43" s="2"/>
      <x:c r="O43" s="2"/>
      <x:c r="P43" s="2"/>
      <x:c r="Q43" s="2"/>
      <x:c r="R43" s="2"/>
      <x:c r="S43" s="2"/>
      <x:c r="T43" s="2"/>
      <x:c r="U43" s="2"/>
      <x:c r="V43" s="2"/>
    </x:row>
    <x:row r="44">
      <x:c r="A44" s="2"/>
      <x:c r="B44" s="2"/>
      <x:c r="C44" s="2"/>
      <x:c r="D44" s="2"/>
      <x:c r="E44" s="2"/>
      <x:c r="F44" s="2"/>
      <x:c r="G44" s="2"/>
      <x:c r="H44" s="2"/>
      <x:c r="I44" s="2"/>
      <x:c r="J44" s="2"/>
      <x:c r="K44" s="2"/>
      <x:c r="L44" s="2"/>
      <x:c r="M44" s="2"/>
      <x:c r="N44" s="2"/>
      <x:c r="O44" s="2"/>
      <x:c r="P44" s="2"/>
      <x:c r="Q44" s="2"/>
      <x:c r="R44" s="2"/>
      <x:c r="S44" s="2"/>
      <x:c r="T44" s="2"/>
      <x:c r="U44" s="2"/>
      <x:c r="V44" s="2"/>
    </x:row>
    <x:row r="45">
      <x:c r="A45" s="2"/>
      <x:c r="B45" s="2"/>
      <x:c r="C45" s="2"/>
      <x:c r="D45" s="2"/>
      <x:c r="E45" s="2"/>
      <x:c r="F45" s="2"/>
      <x:c r="G45" s="2"/>
      <x:c r="H45" s="2"/>
      <x:c r="I45" s="2"/>
      <x:c r="J45" s="2"/>
      <x:c r="K45" s="2"/>
      <x:c r="L45" s="2"/>
      <x:c r="M45" s="2"/>
      <x:c r="N45" s="2"/>
      <x:c r="O45" s="2"/>
      <x:c r="P45" s="2"/>
      <x:c r="Q45" s="2"/>
      <x:c r="R45" s="2"/>
      <x:c r="S45" s="2"/>
      <x:c r="T45" s="2"/>
      <x:c r="U45" s="2"/>
      <x:c r="V45" s="2"/>
    </x:row>
    <x:row r="46">
      <x:c r="A46" s="2"/>
      <x:c r="B46" s="2"/>
      <x:c r="C46" s="2"/>
      <x:c r="D46" s="2"/>
      <x:c r="E46" s="2"/>
      <x:c r="F46" s="2"/>
      <x:c r="G46" s="2"/>
      <x:c r="H46" s="2"/>
      <x:c r="I46" s="2"/>
      <x:c r="J46" s="2"/>
      <x:c r="K46" s="2"/>
      <x:c r="L46" s="2"/>
      <x:c r="M46" s="2"/>
      <x:c r="N46" s="2"/>
      <x:c r="O46" s="2"/>
      <x:c r="P46" s="2"/>
      <x:c r="Q46" s="2"/>
      <x:c r="R46" s="2"/>
      <x:c r="S46" s="2"/>
      <x:c r="T46" s="2"/>
      <x:c r="U46" s="2"/>
      <x:c r="V46" s="2"/>
    </x:row>
    <x:row r="47">
      <x:c r="A47" s="2"/>
      <x:c r="B47" s="2"/>
      <x:c r="C47" s="2"/>
      <x:c r="D47" s="2"/>
      <x:c r="E47" s="2"/>
      <x:c r="F47" s="2"/>
      <x:c r="G47" s="2"/>
      <x:c r="H47" s="2"/>
      <x:c r="I47" s="2"/>
      <x:c r="J47" s="2"/>
      <x:c r="K47" s="2"/>
      <x:c r="L47" s="2"/>
      <x:c r="M47" s="2"/>
      <x:c r="N47" s="2"/>
      <x:c r="O47" s="2"/>
      <x:c r="P47" s="2"/>
      <x:c r="Q47" s="2"/>
      <x:c r="R47" s="2"/>
      <x:c r="S47" s="2"/>
      <x:c r="T47" s="2"/>
      <x:c r="U47" s="2"/>
      <x:c r="V47" s="2"/>
    </x:row>
    <x:row r="48">
      <x:c r="A48" s="2"/>
      <x:c r="B48" s="2"/>
      <x:c r="C48" s="2"/>
      <x:c r="D48" s="2"/>
      <x:c r="E48" s="2"/>
      <x:c r="F48" s="2"/>
      <x:c r="G48" s="2"/>
      <x:c r="H48" s="2"/>
      <x:c r="I48" s="2"/>
      <x:c r="J48" s="2"/>
      <x:c r="K48" s="2"/>
      <x:c r="L48" s="2"/>
      <x:c r="M48" s="2"/>
      <x:c r="N48" s="2"/>
      <x:c r="O48" s="2"/>
      <x:c r="P48" s="2"/>
      <x:c r="Q48" s="2"/>
      <x:c r="R48" s="2"/>
      <x:c r="S48" s="2"/>
      <x:c r="T48" s="2"/>
      <x:c r="U48" s="2"/>
      <x:c r="V48" s="2"/>
    </x:row>
    <x:row r="49">
      <x:c r="A49" s="2"/>
      <x:c r="B49" s="2"/>
      <x:c r="C49" s="2"/>
      <x:c r="D49" s="2"/>
      <x:c r="E49" s="2"/>
      <x:c r="F49" s="2"/>
      <x:c r="G49" s="2"/>
      <x:c r="H49" s="2"/>
      <x:c r="I49" s="2"/>
      <x:c r="J49" s="2"/>
      <x:c r="K49" s="2"/>
      <x:c r="L49" s="2"/>
      <x:c r="M49" s="2"/>
      <x:c r="N49" s="2"/>
      <x:c r="O49" s="2"/>
      <x:c r="P49" s="2"/>
      <x:c r="Q49" s="2"/>
      <x:c r="R49" s="2"/>
      <x:c r="S49" s="2"/>
      <x:c r="T49" s="2"/>
      <x:c r="U49" s="2"/>
      <x:c r="V49" s="2"/>
    </x:row>
    <x:row r="50">
      <x:c r="A50" s="2"/>
      <x:c r="B50" s="2"/>
      <x:c r="C50" s="2"/>
      <x:c r="D50" s="2"/>
      <x:c r="E50" s="2"/>
      <x:c r="F50" s="2"/>
      <x:c r="G50" s="2"/>
      <x:c r="H50" s="2"/>
      <x:c r="I50" s="2"/>
      <x:c r="J50" s="2"/>
      <x:c r="K50" s="2"/>
      <x:c r="L50" s="2"/>
      <x:c r="M50" s="2"/>
      <x:c r="N50" s="2"/>
      <x:c r="O50" s="2"/>
      <x:c r="P50" s="2"/>
      <x:c r="Q50" s="2"/>
      <x:c r="R50" s="2"/>
      <x:c r="S50" s="2"/>
      <x:c r="T50" s="2"/>
      <x:c r="U50" s="2"/>
      <x:c r="V50" s="2"/>
    </x:row>
    <x:row r="51">
      <x:c r="A51" s="2"/>
      <x:c r="B51" s="2"/>
      <x:c r="C51" s="2"/>
      <x:c r="D51" s="2"/>
      <x:c r="E51" s="2"/>
      <x:c r="F51" s="2"/>
      <x:c r="G51" s="2"/>
      <x:c r="H51" s="2"/>
      <x:c r="I51" s="2"/>
      <x:c r="J51" s="2"/>
      <x:c r="K51" s="2"/>
      <x:c r="L51" s="2"/>
      <x:c r="M51" s="2"/>
      <x:c r="N51" s="2"/>
      <x:c r="O51" s="2"/>
      <x:c r="P51" s="2"/>
      <x:c r="Q51" s="2"/>
      <x:c r="R51" s="2"/>
      <x:c r="S51" s="2"/>
      <x:c r="T51" s="2"/>
      <x:c r="U51" s="2"/>
      <x:c r="V51" s="2"/>
    </x:row>
    <x:row r="52">
      <x:c r="A52" s="2"/>
      <x:c r="B52" s="2"/>
      <x:c r="C52" s="2"/>
      <x:c r="D52" s="2"/>
      <x:c r="E52" s="2"/>
      <x:c r="F52" s="2"/>
      <x:c r="G52" s="2"/>
      <x:c r="H52" s="2"/>
      <x:c r="I52" s="2"/>
      <x:c r="J52" s="2"/>
      <x:c r="K52" s="2"/>
      <x:c r="L52" s="2"/>
      <x:c r="M52" s="2"/>
      <x:c r="N52" s="2"/>
      <x:c r="O52" s="2"/>
      <x:c r="P52" s="2"/>
      <x:c r="Q52" s="2"/>
      <x:c r="R52" s="2"/>
      <x:c r="S52" s="2"/>
      <x:c r="T52" s="2"/>
      <x:c r="U52" s="2"/>
      <x:c r="V52" s="2"/>
    </x:row>
    <x:row r="53">
      <x:c r="A53" s="2"/>
      <x:c r="B53" s="2"/>
      <x:c r="C53" s="2"/>
      <x:c r="D53" s="2"/>
      <x:c r="E53" s="2"/>
      <x:c r="F53" s="2"/>
      <x:c r="G53" s="2"/>
      <x:c r="H53" s="2"/>
      <x:c r="I53" s="2"/>
      <x:c r="J53" s="2"/>
      <x:c r="K53" s="2"/>
      <x:c r="L53" s="2"/>
      <x:c r="M53" s="2"/>
      <x:c r="N53" s="2"/>
      <x:c r="O53" s="2"/>
      <x:c r="P53" s="2"/>
      <x:c r="Q53" s="2"/>
      <x:c r="R53" s="2"/>
      <x:c r="S53" s="2"/>
      <x:c r="T53" s="2"/>
      <x:c r="U53" s="2"/>
      <x:c r="V53" s="2"/>
    </x:row>
    <x:row r="54">
      <x:c r="A54" s="2"/>
      <x:c r="B54" s="2"/>
      <x:c r="C54" s="2"/>
      <x:c r="D54" s="2"/>
      <x:c r="E54" s="2"/>
      <x:c r="F54" s="2"/>
      <x:c r="G54" s="2"/>
      <x:c r="H54" s="2"/>
      <x:c r="I54" s="2"/>
      <x:c r="J54" s="2"/>
      <x:c r="K54" s="2"/>
      <x:c r="L54" s="2"/>
      <x:c r="M54" s="2"/>
      <x:c r="N54" s="2"/>
      <x:c r="O54" s="2"/>
      <x:c r="P54" s="2"/>
      <x:c r="Q54" s="2"/>
      <x:c r="R54" s="2"/>
      <x:c r="S54" s="2"/>
      <x:c r="T54" s="2"/>
      <x:c r="U54" s="2"/>
      <x:c r="V54" s="2"/>
    </x:row>
    <x:row r="55">
      <x:c r="A55" s="2"/>
      <x:c r="B55" s="2"/>
      <x:c r="C55" s="2"/>
      <x:c r="D55" s="2"/>
      <x:c r="E55" s="2"/>
      <x:c r="F55" s="2"/>
      <x:c r="G55" s="2"/>
      <x:c r="H55" s="2"/>
      <x:c r="I55" s="2"/>
      <x:c r="J55" s="2"/>
      <x:c r="K55" s="2"/>
      <x:c r="L55" s="2"/>
      <x:c r="M55" s="2"/>
      <x:c r="N55" s="2"/>
      <x:c r="O55" s="2"/>
      <x:c r="P55" s="2"/>
      <x:c r="Q55" s="2"/>
      <x:c r="R55" s="2"/>
      <x:c r="S55" s="2"/>
      <x:c r="T55" s="2"/>
      <x:c r="U55" s="2"/>
      <x:c r="V55" s="2"/>
    </x:row>
    <x:row r="56">
      <x:c r="A56" s="2"/>
      <x:c r="B56" s="2"/>
      <x:c r="C56" s="2"/>
      <x:c r="D56" s="2"/>
      <x:c r="E56" s="2"/>
      <x:c r="F56" s="2"/>
      <x:c r="G56" s="2"/>
      <x:c r="H56" s="2"/>
      <x:c r="I56" s="2"/>
      <x:c r="J56" s="2"/>
      <x:c r="K56" s="2"/>
      <x:c r="L56" s="2"/>
      <x:c r="M56" s="2"/>
      <x:c r="N56" s="2"/>
      <x:c r="O56" s="2"/>
      <x:c r="P56" s="2"/>
      <x:c r="Q56" s="2"/>
      <x:c r="R56" s="2"/>
      <x:c r="S56" s="2"/>
      <x:c r="T56" s="2"/>
      <x:c r="U56" s="2"/>
      <x:c r="V56" s="2"/>
    </x:row>
    <x:row r="57">
      <x:c r="A57" s="2"/>
      <x:c r="B57" s="2"/>
      <x:c r="C57" s="2"/>
      <x:c r="D57" s="2"/>
      <x:c r="E57" s="2"/>
      <x:c r="F57" s="2"/>
      <x:c r="G57" s="2"/>
      <x:c r="H57" s="2"/>
      <x:c r="I57" s="2"/>
      <x:c r="J57" s="2"/>
      <x:c r="K57" s="2"/>
      <x:c r="L57" s="2"/>
      <x:c r="M57" s="2"/>
      <x:c r="N57" s="2"/>
      <x:c r="O57" s="2"/>
      <x:c r="P57" s="2"/>
      <x:c r="Q57" s="2"/>
      <x:c r="R57" s="2"/>
      <x:c r="S57" s="2"/>
      <x:c r="T57" s="2"/>
      <x:c r="U57" s="2"/>
      <x:c r="V57" s="2"/>
    </x:row>
    <x:row r="58">
      <x:c r="A58" s="2"/>
      <x:c r="B58" s="2"/>
      <x:c r="C58" s="2"/>
      <x:c r="D58" s="2"/>
      <x:c r="E58" s="2"/>
      <x:c r="F58" s="2"/>
      <x:c r="G58" s="2"/>
      <x:c r="H58" s="2"/>
      <x:c r="I58" s="2"/>
      <x:c r="J58" s="2"/>
      <x:c r="K58" s="2"/>
      <x:c r="L58" s="2"/>
      <x:c r="M58" s="2"/>
      <x:c r="N58" s="2"/>
      <x:c r="O58" s="2"/>
      <x:c r="P58" s="2"/>
      <x:c r="Q58" s="2"/>
      <x:c r="R58" s="2"/>
      <x:c r="S58" s="2"/>
      <x:c r="T58" s="2"/>
      <x:c r="U58" s="2"/>
      <x:c r="V58" s="2"/>
    </x:row>
    <x:row r="59">
      <x:c r="A59" s="2"/>
      <x:c r="B59" s="2"/>
      <x:c r="C59" s="2"/>
      <x:c r="D59" s="2"/>
      <x:c r="E59" s="2"/>
      <x:c r="F59" s="2"/>
      <x:c r="G59" s="2"/>
      <x:c r="H59" s="2"/>
      <x:c r="I59" s="2"/>
      <x:c r="J59" s="2"/>
      <x:c r="K59" s="2"/>
      <x:c r="L59" s="2"/>
      <x:c r="M59" s="2"/>
      <x:c r="N59" s="2"/>
      <x:c r="O59" s="2"/>
      <x:c r="P59" s="2"/>
      <x:c r="Q59" s="2"/>
      <x:c r="R59" s="2"/>
      <x:c r="S59" s="2"/>
      <x:c r="T59" s="2"/>
      <x:c r="U59" s="2"/>
      <x:c r="V59" s="2"/>
    </x:row>
    <x:row r="60">
      <x:c r="A60" s="2"/>
      <x:c r="B60" s="2"/>
      <x:c r="C60" s="2"/>
      <x:c r="D60" s="2"/>
      <x:c r="E60" s="2"/>
      <x:c r="F60" s="2"/>
      <x:c r="G60" s="2"/>
      <x:c r="H60" s="2"/>
      <x:c r="I60" s="2"/>
      <x:c r="J60" s="2"/>
      <x:c r="K60" s="2"/>
      <x:c r="L60" s="2"/>
      <x:c r="M60" s="2"/>
      <x:c r="N60" s="2"/>
      <x:c r="O60" s="2"/>
      <x:c r="P60" s="2"/>
      <x:c r="Q60" s="2"/>
      <x:c r="R60" s="2"/>
      <x:c r="S60" s="2"/>
      <x:c r="T60" s="2"/>
      <x:c r="U60" s="2"/>
      <x:c r="V60" s="2"/>
    </x:row>
    <x:row r="61">
      <x:c r="A61" s="2"/>
      <x:c r="B61" s="2"/>
      <x:c r="C61" s="2"/>
      <x:c r="D61" s="2"/>
      <x:c r="E61" s="2"/>
      <x:c r="F61" s="2"/>
      <x:c r="G61" s="2"/>
      <x:c r="H61" s="2"/>
      <x:c r="I61" s="2"/>
      <x:c r="J61" s="2"/>
      <x:c r="K61" s="2"/>
      <x:c r="L61" s="2"/>
      <x:c r="M61" s="2"/>
      <x:c r="N61" s="2"/>
      <x:c r="O61" s="2"/>
      <x:c r="P61" s="2"/>
      <x:c r="Q61" s="2"/>
      <x:c r="R61" s="2"/>
      <x:c r="S61" s="2"/>
      <x:c r="T61" s="2"/>
      <x:c r="U61" s="2"/>
      <x:c r="V61" s="2"/>
    </x:row>
    <x:row r="62">
      <x:c r="A62" s="2"/>
      <x:c r="B62" s="2"/>
      <x:c r="C62" s="2"/>
      <x:c r="D62" s="2"/>
      <x:c r="E62" s="2"/>
      <x:c r="F62" s="2"/>
      <x:c r="G62" s="2"/>
      <x:c r="H62" s="2"/>
      <x:c r="I62" s="2"/>
      <x:c r="J62" s="2"/>
      <x:c r="K62" s="2"/>
      <x:c r="L62" s="2"/>
      <x:c r="M62" s="2"/>
      <x:c r="N62" s="2"/>
      <x:c r="O62" s="2"/>
      <x:c r="P62" s="2"/>
      <x:c r="Q62" s="2"/>
      <x:c r="R62" s="2"/>
      <x:c r="S62" s="2"/>
      <x:c r="T62" s="2"/>
      <x:c r="U62" s="2"/>
      <x:c r="V62" s="2"/>
    </x:row>
    <x:row r="63">
      <x:c r="A63" s="2"/>
      <x:c r="B63" s="2"/>
      <x:c r="C63" s="2"/>
      <x:c r="D63" s="2"/>
      <x:c r="E63" s="2"/>
      <x:c r="F63" s="2"/>
      <x:c r="G63" s="2"/>
      <x:c r="H63" s="2"/>
      <x:c r="I63" s="2"/>
      <x:c r="J63" s="2"/>
      <x:c r="K63" s="2"/>
      <x:c r="L63" s="2"/>
      <x:c r="M63" s="2"/>
      <x:c r="N63" s="2"/>
      <x:c r="O63" s="2"/>
      <x:c r="P63" s="2"/>
      <x:c r="Q63" s="2"/>
      <x:c r="R63" s="2"/>
      <x:c r="S63" s="2"/>
      <x:c r="T63" s="2"/>
      <x:c r="U63" s="2"/>
      <x:c r="V63" s="2"/>
    </x:row>
    <x:row r="64">
      <x:c r="A64" s="2"/>
      <x:c r="B64" s="2"/>
      <x:c r="C64" s="2"/>
      <x:c r="D64" s="2"/>
      <x:c r="E64" s="2"/>
      <x:c r="F64" s="2"/>
      <x:c r="G64" s="2"/>
      <x:c r="H64" s="2"/>
      <x:c r="I64" s="2"/>
      <x:c r="J64" s="2"/>
      <x:c r="K64" s="2"/>
      <x:c r="L64" s="2"/>
      <x:c r="M64" s="2"/>
      <x:c r="N64" s="2"/>
      <x:c r="O64" s="2"/>
      <x:c r="P64" s="2"/>
      <x:c r="Q64" s="2"/>
      <x:c r="R64" s="2"/>
      <x:c r="S64" s="2"/>
      <x:c r="T64" s="2"/>
      <x:c r="U64" s="2"/>
      <x:c r="V64" s="2"/>
    </x:row>
    <x:row r="65">
      <x:c r="A65" s="2"/>
      <x:c r="B65" s="2"/>
      <x:c r="C65" s="2"/>
      <x:c r="D65" s="2"/>
      <x:c r="E65" s="2"/>
      <x:c r="F65" s="2"/>
      <x:c r="G65" s="2"/>
      <x:c r="H65" s="2"/>
      <x:c r="I65" s="2"/>
      <x:c r="J65" s="2"/>
      <x:c r="K65" s="2"/>
      <x:c r="L65" s="2"/>
      <x:c r="M65" s="2"/>
      <x:c r="N65" s="2"/>
      <x:c r="O65" s="2"/>
      <x:c r="P65" s="2"/>
      <x:c r="Q65" s="2"/>
      <x:c r="R65" s="2"/>
      <x:c r="S65" s="2"/>
      <x:c r="T65" s="2"/>
      <x:c r="U65" s="2"/>
      <x:c r="V65" s="2"/>
    </x:row>
  </x:sheetData>
  <x:conditionalFormatting sqref="P2:P18">
    <x:cfRule type="containsText" dxfId="0" priority="1" operator="containsText" text="Revise"/>
    <x:cfRule type="containsText" dxfId="1" priority="2" operator="containsText" text="Reject"/>
  </x:conditionalFormatting>
  <x:dataValidations count="1">
    <x:dataValidation type="list" sqref="P2:P18">
      <x:formula1>"Pending,Accept,Revise,Reject"</x:formula1>
    </x:dataValidation>
  </x:dataValidations>
  <x:pageMargins left="0.7" right="0.7" top="0.75" bottom="0.75" header="0.3" footer="0.3"/>
  <x:tableParts count="1">
    <x:tablePart xmlns:r="http://schemas.openxmlformats.org/officeDocument/2006/relationships" r:id="Re1c4810d1db74628"/>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8" hidden="0" customWidth="1"/>
    <x:col min="3" max="3" width="55" hidden="0" customWidth="1"/>
    <x:col min="4" max="4" width="65" hidden="0" customWidth="1"/>
    <x:col min="5" max="5" width="28" hidden="0" customWidth="1"/>
    <x:col min="6" max="6" width="18" hidden="0" customWidth="1"/>
    <x:col min="7" max="7" width="65" hidden="0" customWidth="1"/>
    <x:col min="8" max="8" width="28" hidden="0" customWidth="1"/>
    <x:col min="10" max="10" width="22" hidden="0" customWidth="1"/>
    <x:col min="11" max="11" width="72" hidden="0" customWidth="1"/>
  </x:cols>
  <x:sheetData>
    <x:row r="1" ht="34" customHeight="1">
      <x:c r="A1" s="8" t="str">
        <x:v>Query ID</x:v>
      </x:c>
      <x:c r="B1" s="8" t="str">
        <x:v>Rank</x:v>
      </x:c>
      <x:c r="C1" s="8" t="str">
        <x:v>Search title</x:v>
      </x:c>
      <x:c r="D1" s="8" t="str">
        <x:v>Discovered URL</x:v>
      </x:c>
      <x:c r="E1" s="8" t="str">
        <x:v>Disposition</x:v>
      </x:c>
      <x:c r="F1" s="8" t="str">
        <x:v>Related record</x:v>
      </x:c>
      <x:c r="G1" s="8" t="str">
        <x:v>Reason</x:v>
      </x:c>
      <x:c r="H1" s="8" t="str">
        <x:v>Retrieval result</x:v>
      </x:c>
      <x:c r="I1" s="2"/>
      <x:c r="J1" s="8" t="str">
        <x:v>Query ID</x:v>
      </x:c>
      <x:c r="K1" s="8" t="str">
        <x:v>Exact search query</x:v>
      </x:c>
      <x:c r="L1" s="2"/>
      <x:c r="M1" s="2"/>
      <x:c r="N1" s="2"/>
      <x:c r="O1" s="2"/>
      <x:c r="P1" s="2"/>
      <x:c r="Q1" s="2"/>
      <x:c r="R1" s="2"/>
      <x:c r="S1" s="2"/>
      <x:c r="T1" s="2"/>
      <x:c r="U1" s="2"/>
      <x:c r="V1" s="2"/>
    </x:row>
    <x:row r="2" ht="80" customHeight="1">
      <x:c r="A2" s="11" t="str">
        <x:v>BN_SAND</x:v>
      </x:c>
      <x:c r="B2" s="11" t="n">
        <x:v>1</x:v>
      </x:c>
      <x:c r="C2" s="11" t="str">
        <x:v>নদী রক্ষা বাঁধ ঘেঁষে অবৈধ বালু উত্তোলন; লাঠি হাতে পাহারায় স্থানীয়রা</x:v>
      </x:c>
      <x:c r="D2" s="11" t="str">
        <x:v>https://www.youtube.com/watch?v=LIWhNSlw-lo</x:v>
      </x:c>
      <x:c r="E2" s="11" t="str">
        <x:v>Deferred social/video</x:v>
      </x:c>
      <x:c r="F2" s="11" t="str"/>
      <x:c r="G2" s="11" t="str">
        <x:v>Pilot covers web text and documents; do not substitute social excerpts for source articles</x:v>
      </x:c>
      <x:c r="H2" s="11" t="str">
        <x:v>Not attempted</x:v>
      </x:c>
      <x:c r="I2" s="2"/>
      <x:c r="J2" s="10" t="str">
        <x:v>BN_SAND</x:v>
      </x:c>
      <x:c r="K2" s="10" t="str">
        <x:v>বাংলাদেশ নদী "বালু উত্তোলন"</x:v>
      </x:c>
      <x:c r="L2" s="2"/>
      <x:c r="M2" s="2"/>
      <x:c r="N2" s="2"/>
      <x:c r="O2" s="2"/>
      <x:c r="P2" s="2"/>
      <x:c r="Q2" s="2"/>
      <x:c r="R2" s="2"/>
      <x:c r="S2" s="2"/>
      <x:c r="T2" s="2"/>
      <x:c r="U2" s="2"/>
      <x:c r="V2" s="2"/>
    </x:row>
    <x:row r="3" ht="80" customHeight="1">
      <x:c r="A3" s="11" t="str">
        <x:v>BN_SAND</x:v>
      </x:c>
      <x:c r="B3" s="11" t="n">
        <x:v>2</x:v>
      </x:c>
      <x:c r="C3" s="11" t="str">
        <x:v>বালুমহাল ও মাটি ব্যবস্থাপনা আইন, ২০১০ - Laws of Bangladesh</x:v>
      </x:c>
      <x:c r="D3" s="11" t="str">
        <x:v>https://bdlaws.minlaw.gov.bd/act-details-1066.html</x:v>
      </x:c>
      <x:c r="E3" s="11" t="str">
        <x:v>Included</x:v>
      </x:c>
      <x:c r="F3" s="11" t="str">
        <x:v>BSW-014</x:v>
      </x:c>
      <x:c r="G3" s="11" t="str">
        <x:v>Original scrape was garbled; alternate print view was readable</x:v>
      </x:c>
      <x:c r="H3" s="11" t="str">
        <x:v>Recovered via print view</x:v>
      </x:c>
      <x:c r="I3" s="2"/>
      <x:c r="J3" s="10" t="str">
        <x:v>EN_SAND</x:v>
      </x:c>
      <x:c r="K3" s="10" t="str">
        <x:v>"Bangladesh" "sand mining" newspaper</x:v>
      </x:c>
      <x:c r="L3" s="2"/>
      <x:c r="M3" s="2"/>
      <x:c r="N3" s="2"/>
      <x:c r="O3" s="2"/>
      <x:c r="P3" s="2"/>
      <x:c r="Q3" s="2"/>
      <x:c r="R3" s="2"/>
      <x:c r="S3" s="2"/>
      <x:c r="T3" s="2"/>
      <x:c r="U3" s="2"/>
      <x:c r="V3" s="2"/>
    </x:row>
    <x:row r="4" ht="80" customHeight="1">
      <x:c r="A4" s="11" t="str">
        <x:v>BN_SAND</x:v>
      </x:c>
      <x:c r="B4" s="11" t="n">
        <x:v>3</x:v>
      </x:c>
      <x:c r="C4" s="11" t="str">
        <x:v>আশুগঞ্জে মেঘনা নদী থেকে প্রকাশ্যে অবৈধ বালু উত্তোলন ...</x:v>
      </x:c>
      <x:c r="D4" s="11" t="str">
        <x:v>https://www.facebook.com/rtvonline/posts/%E0%A6%86%E0%A6%B6%E0%A7%81%E0%A6%97%E0%A6%9E%E0%A7%8D%E0%A6%9C%E0%A7%87-%E0%A6%AE%E0%A7%87%E0%A6%98%E0%A6%A8%E0%A6%BE-%E0%A6%A8%E0%A6%A6%E0%A7%80-%E0%A6%A5%E0%A7%87%E0%A6%95%E0%A7%87-%E0%A6%AA%E0%A7%8D%E0%A6%B0%E0%A6%95%E0%A6%BE%E0%A6%B6%E0%A7%8D%E0%A6%AF%E0%A7%87-%E0%A6%85%E0%A6%AC%E0%A7%88%E0%A6%A7-%E0%A6%AC%E0%A6%BE%E0%A6%B2%E0%A7%81-%E0%A6%89%E0%A6%A4%E0%A7%8D%E0%A6%A4%E0%A7%8B%E0%A6%B2%E0%A6%A8ashuganjsandmining-meghnarive/1550428293790214/</x:v>
      </x:c>
      <x:c r="E4" s="11" t="str">
        <x:v>Deferred social/video</x:v>
      </x:c>
      <x:c r="F4" s="11" t="str"/>
      <x:c r="G4" s="11" t="str">
        <x:v>Pilot covers web text and documents; do not substitute social excerpts for source articles</x:v>
      </x:c>
      <x:c r="H4" s="11" t="str">
        <x:v>Not attempted</x:v>
      </x:c>
      <x:c r="I4" s="2"/>
      <x:c r="J4" s="10" t="str">
        <x:v>BN_STONE</x:v>
      </x:c>
      <x:c r="K4" s="10" t="str">
        <x:v>বাংলাদেশ "পাথর উত্তোলন" পরিবেশ</x:v>
      </x:c>
      <x:c r="L4" s="2"/>
      <x:c r="M4" s="2"/>
      <x:c r="N4" s="2"/>
      <x:c r="O4" s="2"/>
      <x:c r="P4" s="2"/>
      <x:c r="Q4" s="2"/>
      <x:c r="R4" s="2"/>
      <x:c r="S4" s="2"/>
      <x:c r="T4" s="2"/>
      <x:c r="U4" s="2"/>
      <x:c r="V4" s="2"/>
    </x:row>
    <x:row r="5" ht="80" customHeight="1">
      <x:c r="A5" s="11" t="str">
        <x:v>BN_SAND</x:v>
      </x:c>
      <x:c r="B5" s="11" t="n">
        <x:v>4</x:v>
      </x:c>
      <x:c r="C5" s="11" t="str">
        <x:v>বালুর বাড়তি চাহিদা মেটাতে নদীতে অবৈধ উত্তোলন, বিপর্যয়ে বাংলাদেশের ...</x:v>
      </x:c>
      <x:c r="D5" s="11" t="str">
        <x:v>https://bengali.mongabay.com/2022/08/16/%E0%A6%AC%E0%A6%BE%E0%A6%B2%E0%A7%81%E0%A6%B0-%E0%A6%AC%E0%A6%BE%E0%A6%A1%E0%A6%BC%E0%A6%A4%E0%A6%BF-%E0%A6%9A%E0%A6%BE%E0%A6%B9%E0%A6%BF%E0%A6%A6%E0%A6%BE-%E0%A6%AE%E0%A7%87%E0%A6%9F%E0%A6%BE/</x:v>
      </x:c>
      <x:c r="E5" s="11" t="str">
        <x:v>Included</x:v>
      </x:c>
      <x:c r="F5" s="11" t="str">
        <x:v>BSW-003</x:v>
      </x:c>
      <x:c r="G5" s="11" t="str">
        <x:v>Source text reviewed</x:v>
      </x:c>
      <x:c r="H5" s="11" t="str">
        <x:v>Usable</x:v>
      </x:c>
      <x:c r="I5" s="2"/>
      <x:c r="J5" s="10" t="str">
        <x:v>GOV_POLICY</x:v>
      </x:c>
      <x:c r="K5" s="10" t="str">
        <x:v>site:minland.gov.bd "বালুমহাল"</x:v>
      </x:c>
      <x:c r="L5" s="2"/>
      <x:c r="M5" s="2"/>
      <x:c r="N5" s="2"/>
      <x:c r="O5" s="2"/>
      <x:c r="P5" s="2"/>
      <x:c r="Q5" s="2"/>
      <x:c r="R5" s="2"/>
      <x:c r="S5" s="2"/>
      <x:c r="T5" s="2"/>
      <x:c r="U5" s="2"/>
      <x:c r="V5" s="2"/>
    </x:row>
    <x:row r="6" ht="80" customHeight="1">
      <x:c r="A6" s="11" t="str">
        <x:v>EN_SAND</x:v>
      </x:c>
      <x:c r="B6" s="11" t="n">
        <x:v>1</x:v>
      </x:c>
      <x:c r="C6" s="11" t="str">
        <x:v>Legal and Illicit Sand Mining Practice in Bangladesh: Exploring Supply ...</x:v>
      </x:c>
      <x:c r="D6" s="11" t="str">
        <x:v>https://jied.lse.ac.uk/articles/10.31389/jied.149</x:v>
      </x:c>
      <x:c r="E6" s="11" t="str">
        <x:v>Included</x:v>
      </x:c>
      <x:c r="F6" s="11" t="str">
        <x:v>BSW-010</x:v>
      </x:c>
      <x:c r="G6" s="11" t="str">
        <x:v>Source text reviewed</x:v>
      </x:c>
      <x:c r="H6" s="11" t="str">
        <x:v>Usable</x:v>
      </x:c>
      <x:c r="I6" s="2"/>
      <x:c r="J6" s="10" t="str">
        <x:v>GOV_DISTRICT</x:v>
      </x:c>
      <x:c r="K6" s="10" t="str">
        <x:v>site:gov.bd "বালুমহাল" "ইজারা" ২০২৬</x:v>
      </x:c>
      <x:c r="L6" s="2"/>
      <x:c r="M6" s="2"/>
      <x:c r="N6" s="2"/>
      <x:c r="O6" s="2"/>
      <x:c r="P6" s="2"/>
      <x:c r="Q6" s="2"/>
      <x:c r="R6" s="2"/>
      <x:c r="S6" s="2"/>
      <x:c r="T6" s="2"/>
      <x:c r="U6" s="2"/>
      <x:c r="V6" s="2"/>
    </x:row>
    <x:row r="7" ht="80" customHeight="1">
      <x:c r="A7" s="11" t="str">
        <x:v>EN_SAND</x:v>
      </x:c>
      <x:c r="B7" s="11" t="n">
        <x:v>2</x:v>
      </x:c>
      <x:c r="C7" s="11" t="str">
        <x:v>Sand Mining, Non‐Farm Employment and a Local Labour Force in Rural ...</x:v>
      </x:c>
      <x:c r="D7" s="11" t="str">
        <x:v>https://onlinelibrary.wiley.com/doi/full/10.1002/jid.3966</x:v>
      </x:c>
      <x:c r="E7" s="11" t="str">
        <x:v>Included</x:v>
      </x:c>
      <x:c r="F7" s="11" t="str">
        <x:v>BSW-011</x:v>
      </x:c>
      <x:c r="G7" s="11" t="str">
        <x:v>Source text reviewed</x:v>
      </x:c>
      <x:c r="H7" s="11" t="str">
        <x:v>Usable</x:v>
      </x:c>
      <x:c r="I7" s="2"/>
      <x:c r="J7" s="10" t="str">
        <x:v>RESEARCH</x:v>
      </x:c>
      <x:c r="K7" s="10" t="str">
        <x:v>"Bangladesh" "sand mining" journal research</x:v>
      </x:c>
      <x:c r="L7" s="2"/>
      <x:c r="M7" s="2"/>
      <x:c r="N7" s="2"/>
      <x:c r="O7" s="2"/>
      <x:c r="P7" s="2"/>
      <x:c r="Q7" s="2"/>
      <x:c r="R7" s="2"/>
      <x:c r="S7" s="2"/>
      <x:c r="T7" s="2"/>
      <x:c r="U7" s="2"/>
      <x:c r="V7" s="2"/>
    </x:row>
    <x:row r="8" ht="80" customHeight="1">
      <x:c r="A8" s="11" t="str">
        <x:v>EN_SAND</x:v>
      </x:c>
      <x:c r="B8" s="11" t="n">
        <x:v>3</x:v>
      </x:c>
      <x:c r="C8" s="11" t="str">
        <x:v>The political economy of river sand mining in South Asia</x:v>
      </x:c>
      <x:c r="D8" s="11" t="str">
        <x:v>https://www.cmi.no/projects/2512-the-political-economy-of-river-sand-mining-in-south-asia-a-commodity-chain-approach</x:v>
      </x:c>
      <x:c r="E8" s="11" t="str">
        <x:v>Included</x:v>
      </x:c>
      <x:c r="F8" s="11" t="str">
        <x:v>BSW-013</x:v>
      </x:c>
      <x:c r="G8" s="11" t="str">
        <x:v>Source text reviewed</x:v>
      </x:c>
      <x:c r="H8" s="11" t="str">
        <x:v>Usable</x:v>
      </x:c>
      <x:c r="I8" s="2"/>
      <x:c r="J8" s="10" t="str">
        <x:v>TEESTA</x:v>
      </x:c>
      <x:c r="K8" s="10" t="str">
        <x:v>"Teesta" "sand extraction" "July" "2026"</x:v>
      </x:c>
      <x:c r="L8" s="2"/>
      <x:c r="M8" s="2"/>
      <x:c r="N8" s="2"/>
      <x:c r="O8" s="2"/>
      <x:c r="P8" s="2"/>
      <x:c r="Q8" s="2"/>
      <x:c r="R8" s="2"/>
      <x:c r="S8" s="2"/>
      <x:c r="T8" s="2"/>
      <x:c r="U8" s="2"/>
      <x:c r="V8" s="2"/>
    </x:row>
    <x:row r="9" ht="80" customHeight="1">
      <x:c r="A9" s="11" t="str">
        <x:v>EN_SAND</x:v>
      </x:c>
      <x:c r="B9" s="11" t="n">
        <x:v>4</x:v>
      </x:c>
      <x:c r="C9" s="11" t="str">
        <x:v>Illegal sand extraction using dredgers continues at several points along ...</x:v>
      </x:c>
      <x:c r="D9" s="11" t="str">
        <x:v>https://www.facebook.com/DailyStarNews/posts/illegal-sand-extraction-using-dredgers-continues-at-several-points-along-the-tee/1372334755047800/</x:v>
      </x:c>
      <x:c r="E9" s="11" t="str">
        <x:v>Deferred social/video</x:v>
      </x:c>
      <x:c r="F9" s="11" t="str">
        <x:v>BSW-002</x:v>
      </x:c>
      <x:c r="G9" s="11" t="str">
        <x:v>Pilot covers web text and documents; do not substitute social excerpts for source articles</x:v>
      </x:c>
      <x:c r="H9" s="11" t="str">
        <x:v>Not attempted</x:v>
      </x:c>
      <x:c r="I9" s="2"/>
      <x:c r="J9" s="10" t="str">
        <x:v>EN_REFINED</x:v>
      </x:c>
      <x:c r="K9" s="10" t="str">
        <x:v>"Bangladesh" "sand extraction" -site:facebook.com -site:youtube.com -site:instagram.com</x:v>
      </x:c>
      <x:c r="L9" s="2"/>
      <x:c r="M9" s="2"/>
      <x:c r="N9" s="2"/>
      <x:c r="O9" s="2"/>
      <x:c r="P9" s="2"/>
      <x:c r="Q9" s="2"/>
      <x:c r="R9" s="2"/>
      <x:c r="S9" s="2"/>
      <x:c r="T9" s="2"/>
      <x:c r="U9" s="2"/>
      <x:c r="V9" s="2"/>
    </x:row>
    <x:row r="10" ht="80" customHeight="1">
      <x:c r="A10" s="11" t="str">
        <x:v>BN_STONE</x:v>
      </x:c>
      <x:c r="B10" s="11" t="n">
        <x:v>1</x:v>
      </x:c>
      <x:c r="C10" s="11" t="str">
        <x:v>বাংলাদেশের পাথর শিল্প ধ্বংসে ভারতের সুক্ষ্ম ষড়যন্ত্র। ব্রিটিশ আমলে শুরু ...</x:v>
      </x:c>
      <x:c r="D10" s="11" t="str">
        <x:v>https://www.facebook.com/OfficialNH90/posts/%E0%A6%AC%E0%A6%BE%E0%A6%82%E0%A6%B2%E0%A6%BE%E0%A6%A6%E0%A7%87%E0%A6%B6%E0%A7%87%E0%A6%B0-%E0%A6%AA%E0%A6%BE%E0%A6%A5%E0%A6%B0-%E0%A6%B6%E0%A6%BF%E0%A6%B2%E0%A7%8D%E0%A6%AA-%E0%A6%A7%E0%A7%8D%E0%A6%AC%E0%A6%82%E0%A6%B8%E0%A7%87-%E0%A6%AD%E0%A6%BE%E0%A6%B0%E0%A6%A4%E0%A7%87%E0%A6%B0-%E0%A6%B8%E0%A7%81%E0%A6%95%E0%A7%8D%E0%A6%B7%E0%A7%8D%E0%A6%AE-%E0%A6%B7%E0%A7%9C%E0%A6%AF%E0%A6%A8%E0%A7%8D%E0%A6%A4%E0%A7%8D%E0%A6%B0-%E0%A6%AC%E0%A7%8D%E0%A6%B0%E0%A6%BF%E0%A6%9F%E0%A6%BF%E0%A6%B6-%E0%A6%86%E0%A6%AE%E0%A6%B2%E0%A7%87-%E0%A6%B6%E0%A7%81%E0%A6%B0%E0%A7%81-%E0%A6%B9%E0%A6%AC%E0%A6%BE%E0%A6%B0-%E0%A6%AA%E0%A6%B0-%E0%A6%A5/1263550512450959/</x:v>
      </x:c>
      <x:c r="E10" s="11" t="str">
        <x:v>Deferred social/video</x:v>
      </x:c>
      <x:c r="F10" s="11" t="str"/>
      <x:c r="G10" s="11" t="str">
        <x:v>Pilot covers web text and documents; do not substitute social excerpts for source articles</x:v>
      </x:c>
      <x:c r="H10" s="11" t="str">
        <x:v>Not attempted</x:v>
      </x:c>
      <x:c r="I10" s="2"/>
      <x:c r="J10" s="2"/>
      <x:c r="K10" s="2"/>
      <x:c r="L10" s="2"/>
      <x:c r="M10" s="2"/>
      <x:c r="N10" s="2"/>
      <x:c r="O10" s="2"/>
      <x:c r="P10" s="2"/>
      <x:c r="Q10" s="2"/>
      <x:c r="R10" s="2"/>
      <x:c r="S10" s="2"/>
      <x:c r="T10" s="2"/>
      <x:c r="U10" s="2"/>
      <x:c r="V10" s="2"/>
    </x:row>
    <x:row r="11" ht="72" customHeight="1">
      <x:c r="A11" s="11" t="str">
        <x:v>BN_STONE</x:v>
      </x:c>
      <x:c r="B11" s="11" t="n">
        <x:v>2</x:v>
      </x:c>
      <x:c r="C11" s="11" t="str">
        <x:v>সিলেটের তিন কোয়ারি থেকে পাথর উত্তোলনের অনুমতি - বণিক বার্তা</x:v>
      </x:c>
      <x:c r="D11" s="11" t="str">
        <x:v>https://www.bonikbarta.com/home/news_description/254267/www.combank.net.bd</x:v>
      </x:c>
      <x:c r="E11" s="11" t="str">
        <x:v>Included</x:v>
      </x:c>
      <x:c r="F11" s="11" t="str">
        <x:v>BSW-005</x:v>
      </x:c>
      <x:c r="G11" s="11" t="str">
        <x:v>Source text reviewed</x:v>
      </x:c>
      <x:c r="H11" s="11" t="str">
        <x:v>Usable</x:v>
      </x:c>
      <x:c r="I11" s="2"/>
      <x:c r="J11" s="2"/>
      <x:c r="K11" s="10" t="str">
        <x:v>EN_REFINED limited domains: tbsnews.net, dhakatribune.com, newagebd.net, thedailystar.net. Each query returned up to four web results; this is not a crawl of all indexed pages.</x:v>
      </x:c>
      <x:c r="L11" s="2"/>
      <x:c r="M11" s="2"/>
      <x:c r="N11" s="2"/>
      <x:c r="O11" s="2"/>
      <x:c r="P11" s="2"/>
      <x:c r="Q11" s="2"/>
      <x:c r="R11" s="2"/>
      <x:c r="S11" s="2"/>
      <x:c r="T11" s="2"/>
      <x:c r="U11" s="2"/>
      <x:c r="V11" s="2"/>
    </x:row>
    <x:row r="12" ht="80" customHeight="1">
      <x:c r="A12" s="11" t="str">
        <x:v>BN_STONE</x:v>
      </x:c>
      <x:c r="B12" s="11" t="n">
        <x:v>3</x:v>
      </x:c>
      <x:c r="C12" s="11" t="str">
        <x:v>সিলেটে পাথর কোয়ারি ইজারা না দেওয়ার সরকারি সিদ্ধান্ত বহাল রাখার দাবি</x:v>
      </x:c>
      <x:c r="D12" s="11" t="str">
        <x:v>https://www.prothomalo.com/bangladesh/district/t6xo2rj5qz</x:v>
      </x:c>
      <x:c r="E12" s="11" t="str">
        <x:v>Included</x:v>
      </x:c>
      <x:c r="F12" s="11" t="str">
        <x:v>BSW-004</x:v>
      </x:c>
      <x:c r="G12" s="11" t="str">
        <x:v>Source text reviewed</x:v>
      </x:c>
      <x:c r="H12" s="11" t="str">
        <x:v>Usable</x:v>
      </x:c>
      <x:c r="I12" s="2"/>
      <x:c r="J12" s="2"/>
      <x:c r="K12" s="2"/>
      <x:c r="L12" s="2"/>
      <x:c r="M12" s="2"/>
      <x:c r="N12" s="2"/>
      <x:c r="O12" s="2"/>
      <x:c r="P12" s="2"/>
      <x:c r="Q12" s="2"/>
      <x:c r="R12" s="2"/>
      <x:c r="S12" s="2"/>
      <x:c r="T12" s="2"/>
      <x:c r="U12" s="2"/>
      <x:c r="V12" s="2"/>
    </x:row>
    <x:row r="13" ht="80" customHeight="1">
      <x:c r="A13" s="11" t="str">
        <x:v>BN_STONE</x:v>
      </x:c>
      <x:c r="B13" s="11" t="n">
        <x:v>4</x:v>
      </x:c>
      <x:c r="C13" s="11" t="str">
        <x:v>জাফলং থেকে পাথর উত্তোলন বন্ধের সিদ্ধান্ত - #rizwanahasan - #adviser</x:v>
      </x:c>
      <x:c r="D13" s="11" t="str">
        <x:v>https://www.facebook.com/somoynews.tv/videos/%E0%A6%9C%E0%A6%BE%E0%A6%AB%E0%A6%B2%E0%A6%82-%E0%A6%A5%E0%A7%87%E0%A6%95%E0%A7%87-%E0%A6%AA%E0%A6%BE%E0%A6%A5%E0%A6%B0-%E0%A6%89%E0%A6%A4%E0%A7%8D%E0%A6%A4%E0%A7%8B%E0%A6%B2%E0%A6%A8-%E0%A6%AC%E0%A6%A8%E0%A7%8D%E0%A6%A7%E0%A7%87%E0%A6%B0-%E0%A6%B8%E0%A6%BF%E0%A6%A6%E0%A7%8D%E0%A6%A7%E0%A6%BE%E0%A6%A8%E0%A7%8D%E0%A6%A4/1047770867501966/</x:v>
      </x:c>
      <x:c r="E13" s="11" t="str">
        <x:v>Deferred social/video</x:v>
      </x:c>
      <x:c r="F13" s="11" t="str"/>
      <x:c r="G13" s="11" t="str">
        <x:v>Pilot covers web text and documents; do not substitute social excerpts for source articles</x:v>
      </x:c>
      <x:c r="H13" s="11" t="str">
        <x:v>Not attempted</x:v>
      </x:c>
      <x:c r="I13" s="2"/>
      <x:c r="J13" s="2"/>
      <x:c r="K13" s="2"/>
      <x:c r="L13" s="2"/>
      <x:c r="M13" s="2"/>
      <x:c r="N13" s="2"/>
      <x:c r="O13" s="2"/>
      <x:c r="P13" s="2"/>
      <x:c r="Q13" s="2"/>
      <x:c r="R13" s="2"/>
      <x:c r="S13" s="2"/>
      <x:c r="T13" s="2"/>
      <x:c r="U13" s="2"/>
      <x:c r="V13" s="2"/>
    </x:row>
    <x:row r="14" ht="80" customHeight="1">
      <x:c r="A14" s="11" t="str">
        <x:v>GOV_POLICY</x:v>
      </x:c>
      <x:c r="B14" s="11" t="n">
        <x:v>1</x:v>
      </x:c>
      <x:c r="C14" s="11" t="str">
        <x:v>বালুমহাল ও মাটি ব্যবস্থাপনা বিধিমালা, ২০২৫ | আইন - ভূমি মন্ত্রণালয়</x:v>
      </x:c>
      <x:c r="D14" s="11" t="str">
        <x:v>https://minland.gov.bd/pages/laws/%E0%A6%AC%E0%A6%BE%E0%A6%B2%E0%A7%81%E0%A6%AE%E0%A6%B9%E0%A6%BE%E0%A6%B2-%E0%A6%93-%E0%A6%AE%E0%A6%BE%E0%A6%9F%E0%A6%BF-%E0%A6%AC%E0%A7%8D%E0%A6%AF%E0%A6%AC%E0%A6%B8%E0%A7%8D%E0%A6%A5%E0%A6%BE%E0%A6%AA%E0%A6%A8%E0%A6%BE-%E0%A6%AC%E0%A6%BF%E0%A6%A7%E0%A6%BF%E0%A6%AE%E0%A6%BE%E0%A6%B2%E0%A6%BE-%E0%A7%A8%E0%A7%A6%E0%A7%A8%E0%A7%AB-f2a60f-6940319735ce18e1c0552f67</x:v>
      </x:c>
      <x:c r="E14" s="11" t="str">
        <x:v>Possible mirror</x:v>
      </x:c>
      <x:c r="F14" s="11" t="str">
        <x:v>BSW-016</x:v>
      </x:c>
      <x:c r="G14" s="11" t="str">
        <x:v>Same rules title as BSW-016; page body missing, equivalence not independently confirmed</x:v>
      </x:c>
      <x:c r="H14" s="11" t="str">
        <x:v>Body missing</x:v>
      </x:c>
      <x:c r="I14" s="2"/>
      <x:c r="J14" s="2"/>
      <x:c r="K14" s="2"/>
      <x:c r="L14" s="2"/>
      <x:c r="M14" s="2"/>
      <x:c r="N14" s="2"/>
      <x:c r="O14" s="2"/>
      <x:c r="P14" s="2"/>
      <x:c r="Q14" s="2"/>
      <x:c r="R14" s="2"/>
      <x:c r="S14" s="2"/>
      <x:c r="T14" s="2"/>
      <x:c r="U14" s="2"/>
      <x:c r="V14" s="2"/>
    </x:row>
    <x:row r="15" ht="80" customHeight="1">
      <x:c r="A15" s="11" t="str">
        <x:v>GOV_POLICY</x:v>
      </x:c>
      <x:c r="B15" s="11" t="n">
        <x:v>2</x:v>
      </x:c>
      <x:c r="C15" s="11" t="str">
        <x:v>বালুমহাল ও মাটি ব্যবস্থাপনা বিধিমালা, ২০২৫ | নোটিশ - ভূমি মন্ত্রণালয়</x:v>
      </x:c>
      <x:c r="D15" s="11" t="str">
        <x:v>https://minland.gov.bd/pages/notices/6940363835ce18e1c058289c</x:v>
      </x:c>
      <x:c r="E15" s="11" t="str">
        <x:v>Included</x:v>
      </x:c>
      <x:c r="F15" s="11" t="str">
        <x:v>BSW-016</x:v>
      </x:c>
      <x:c r="G15" s="11" t="str">
        <x:v>Delayed rendering recovered notice and PDF link</x:v>
      </x:c>
      <x:c r="H15" s="11" t="str">
        <x:v>Recovered after retry</x:v>
      </x:c>
      <x:c r="I15" s="2"/>
      <x:c r="J15" s="2"/>
      <x:c r="K15" s="2"/>
      <x:c r="L15" s="2"/>
      <x:c r="M15" s="2"/>
      <x:c r="N15" s="2"/>
      <x:c r="O15" s="2"/>
      <x:c r="P15" s="2"/>
      <x:c r="Q15" s="2"/>
      <x:c r="R15" s="2"/>
      <x:c r="S15" s="2"/>
      <x:c r="T15" s="2"/>
      <x:c r="U15" s="2"/>
      <x:c r="V15" s="2"/>
    </x:row>
    <x:row r="16" ht="80" customHeight="1">
      <x:c r="A16" s="11" t="str">
        <x:v>GOV_POLICY</x:v>
      </x:c>
      <x:c r="B16" s="11" t="n">
        <x:v>3</x:v>
      </x:c>
      <x:c r="C16" s="11" t="str">
        <x:v>বালুমহাল ও মাটি ব্যবস্থাপনা (সংশোধন) আইন, ২০২৩ - ভূমি মন্ত্রণালয়</x:v>
      </x:c>
      <x:c r="D16" s="11" t="str">
        <x:v>https://minland.gov.bd/pages/laws/%E0%A6%AC%E0%A6%BE%E0%A6%B2%E0%A7%81%E0%A6%AE%E0%A6%B9%E0%A6%BE%E0%A6%B2-%E0%A6%93-%E0%A6%AE%E0%A6%BE%E0%A6%9F%E0%A6%BF-%E0%A6%AC%E0%A7%8D%E0%A6%AF%E0%A6%AC%E0%A6%B8%E0%A7%8D%E0%A6%A5%E0%A6%BE%E0%A6%AA%E0%A6%A8%E0%A6%BE-%E0%A6%B8%E0%A6%82%E0%A6%B6%E0%A7%8B%E0%A6%A7%E0%A6%A8-%E0%A6%86%E0%A6%87%E0%A6%A8-%E0%A7%A8%E0%A7%A6%E0%A7%A8%E0%A7%A9-ebfec9-6940319835ce18e1c0553029</x:v>
      </x:c>
      <x:c r="E16" s="11" t="str">
        <x:v>Canonical source used</x:v>
      </x:c>
      <x:c r="F16" s="11" t="str">
        <x:v>BSW-015</x:v>
      </x:c>
      <x:c r="G16" s="11" t="str">
        <x:v>Amendment indexed here; official statute text in BSW-015</x:v>
      </x:c>
      <x:c r="H16" s="11" t="str">
        <x:v>Not attempted</x:v>
      </x:c>
      <x:c r="I16" s="2"/>
      <x:c r="J16" s="2"/>
      <x:c r="K16" s="2"/>
      <x:c r="L16" s="2"/>
      <x:c r="M16" s="2"/>
      <x:c r="N16" s="2"/>
      <x:c r="O16" s="2"/>
      <x:c r="P16" s="2"/>
      <x:c r="Q16" s="2"/>
      <x:c r="R16" s="2"/>
      <x:c r="S16" s="2"/>
      <x:c r="T16" s="2"/>
      <x:c r="U16" s="2"/>
      <x:c r="V16" s="2"/>
    </x:row>
    <x:row r="17" ht="80" customHeight="1">
      <x:c r="A17" s="11" t="str">
        <x:v>GOV_POLICY</x:v>
      </x:c>
      <x:c r="B17" s="11" t="n">
        <x:v>4</x:v>
      </x:c>
      <x:c r="C17" s="11" t="str">
        <x:v>বালুমহাল ও মাটি ব্যবস্থাপনা বিধিমালা ২০২৪ এর খসড়ার উপর মতামত প্রেরণ | নোটিশ</x:v>
      </x:c>
      <x:c r="D17" s="11" t="str">
        <x:v>https://minland.gov.bd/pages/notices/694034b935ce18e1c0573d89</x:v>
      </x:c>
      <x:c r="E17" s="11" t="str">
        <x:v>Pending retrieval</x:v>
      </x:c>
      <x:c r="F17" s="11" t="str"/>
      <x:c r="G17" s="11" t="str">
        <x:v>Initial scrape returned menus without the notice body</x:v>
      </x:c>
      <x:c r="H17" s="11" t="str">
        <x:v>Body missing</x:v>
      </x:c>
      <x:c r="I17" s="2"/>
      <x:c r="J17" s="2"/>
      <x:c r="K17" s="2"/>
      <x:c r="L17" s="2"/>
      <x:c r="M17" s="2"/>
      <x:c r="N17" s="2"/>
      <x:c r="O17" s="2"/>
      <x:c r="P17" s="2"/>
      <x:c r="Q17" s="2"/>
      <x:c r="R17" s="2"/>
      <x:c r="S17" s="2"/>
      <x:c r="T17" s="2"/>
      <x:c r="U17" s="2"/>
      <x:c r="V17" s="2"/>
    </x:row>
    <x:row r="18" ht="80" customHeight="1">
      <x:c r="A18" s="11" t="str">
        <x:v>GOV_DISTRICT</x:v>
      </x:c>
      <x:c r="B18" s="11" t="n">
        <x:v>1</x:v>
      </x:c>
      <x:c r="C18" s="11" t="str">
        <x:v>বালুমহালের ইজারা বিজ্ঞপ্তি (১৪৩৩ বঙ্গাব্দ)। | নোটিশ - মানিকগঞ্জ জেলা</x:v>
      </x:c>
      <x:c r="D18" s="11" t="str">
        <x:v>https://manikganj.gov.bd/pages/notices/69ad080f743c7763eec324cd</x:v>
      </x:c>
      <x:c r="E18" s="11" t="str">
        <x:v>Pending retrieval</x:v>
      </x:c>
      <x:c r="F18" s="11" t="str"/>
      <x:c r="G18" s="11" t="str">
        <x:v>Initial scrape returned menus without the notice body</x:v>
      </x:c>
      <x:c r="H18" s="11" t="str">
        <x:v>Body missing</x:v>
      </x:c>
      <x:c r="I18" s="2"/>
      <x:c r="J18" s="2"/>
      <x:c r="K18" s="2"/>
      <x:c r="L18" s="2"/>
      <x:c r="M18" s="2"/>
      <x:c r="N18" s="2"/>
      <x:c r="O18" s="2"/>
      <x:c r="P18" s="2"/>
      <x:c r="Q18" s="2"/>
      <x:c r="R18" s="2"/>
      <x:c r="S18" s="2"/>
      <x:c r="T18" s="2"/>
      <x:c r="U18" s="2"/>
      <x:c r="V18" s="2"/>
    </x:row>
    <x:row r="19" ht="80" customHeight="1">
      <x:c r="A19" s="11" t="str">
        <x:v>GOV_DISTRICT</x:v>
      </x:c>
      <x:c r="B19" s="11" t="n">
        <x:v>2</x:v>
      </x:c>
      <x:c r="C19" s="11" t="str">
        <x:v>বালুমহাল ইজারা বিজ্ঞপ্তি | নোটিশ - পঞ্চগড় জেলা</x:v>
      </x:c>
      <x:c r="D19" s="11" t="str">
        <x:v>https://panchagarh.gov.bd/pages/notices/69a52be0a02fabd7baec4441</x:v>
      </x:c>
      <x:c r="E19" s="11" t="str">
        <x:v>Outside sample</x:v>
      </x:c>
      <x:c r="F19" s="11" t="str"/>
      <x:c r="G19" s="11" t="str">
        <x:v>Relevant candidate retained for expansion; not fetched in this bounded sample</x:v>
      </x:c>
      <x:c r="H19" s="11" t="str">
        <x:v>Not attempted</x:v>
      </x:c>
      <x:c r="I19" s="2"/>
      <x:c r="J19" s="2"/>
      <x:c r="K19" s="2"/>
      <x:c r="L19" s="2"/>
      <x:c r="M19" s="2"/>
      <x:c r="N19" s="2"/>
      <x:c r="O19" s="2"/>
      <x:c r="P19" s="2"/>
      <x:c r="Q19" s="2"/>
      <x:c r="R19" s="2"/>
      <x:c r="S19" s="2"/>
      <x:c r="T19" s="2"/>
      <x:c r="U19" s="2"/>
      <x:c r="V19" s="2"/>
    </x:row>
    <x:row r="20" ht="80" customHeight="1">
      <x:c r="A20" s="11" t="str">
        <x:v>GOV_DISTRICT</x:v>
      </x:c>
      <x:c r="B20" s="11" t="n">
        <x:v>3</x:v>
      </x:c>
      <x:c r="C20" s="11" t="str">
        <x:v>১৪৩৩ বঙ্গাব্দে বালুমহাল ইজারার জন্য উন্মুক্ত দরপত্র বিজ্ঞপ্তি | নোটিশ</x:v>
      </x:c>
      <x:c r="D20" s="11" t="str">
        <x:v>https://sunamganj.gov.bd/pages/notices/6971d87435ce18e1c05e054f</x:v>
      </x:c>
      <x:c r="E20" s="11" t="str">
        <x:v>Included</x:v>
      </x:c>
      <x:c r="F20" s="11" t="str">
        <x:v>BSW-017</x:v>
      </x:c>
      <x:c r="G20" s="11" t="str">
        <x:v>Delayed rendering recovered notice and PDF link</x:v>
      </x:c>
      <x:c r="H20" s="11" t="str">
        <x:v>Recovered after retry</x:v>
      </x:c>
      <x:c r="I20" s="2"/>
      <x:c r="J20" s="2"/>
      <x:c r="K20" s="2"/>
      <x:c r="L20" s="2"/>
      <x:c r="M20" s="2"/>
      <x:c r="N20" s="2"/>
      <x:c r="O20" s="2"/>
      <x:c r="P20" s="2"/>
      <x:c r="Q20" s="2"/>
      <x:c r="R20" s="2"/>
      <x:c r="S20" s="2"/>
      <x:c r="T20" s="2"/>
      <x:c r="U20" s="2"/>
      <x:c r="V20" s="2"/>
    </x:row>
    <x:row r="21" ht="80" customHeight="1">
      <x:c r="A21" s="11" t="str">
        <x:v>GOV_DISTRICT</x:v>
      </x:c>
      <x:c r="B21" s="11" t="n">
        <x:v>4</x:v>
      </x:c>
      <x:c r="C21" s="11" t="str">
        <x:v>বালুমহাল ইজারার দরপত্র বিজ্ঞপ্তি | নোটিশ - চট্টগ্রাম জেলা</x:v>
      </x:c>
      <x:c r="D21" s="11" t="str">
        <x:v>https://chattogram.gov.bd/pages/notices/69c8c7f4c42d354b5a53f6ad</x:v>
      </x:c>
      <x:c r="E21" s="11" t="str">
        <x:v>Outside sample</x:v>
      </x:c>
      <x:c r="F21" s="11" t="str"/>
      <x:c r="G21" s="11" t="str">
        <x:v>Relevant candidate retained for expansion; not fetched in this bounded sample</x:v>
      </x:c>
      <x:c r="H21" s="11" t="str">
        <x:v>Not attempted</x:v>
      </x:c>
      <x:c r="I21" s="2"/>
      <x:c r="J21" s="2"/>
      <x:c r="K21" s="2"/>
      <x:c r="L21" s="2"/>
      <x:c r="M21" s="2"/>
      <x:c r="N21" s="2"/>
      <x:c r="O21" s="2"/>
      <x:c r="P21" s="2"/>
      <x:c r="Q21" s="2"/>
      <x:c r="R21" s="2"/>
      <x:c r="S21" s="2"/>
      <x:c r="T21" s="2"/>
      <x:c r="U21" s="2"/>
      <x:c r="V21" s="2"/>
    </x:row>
    <x:row r="22" ht="80" customHeight="1">
      <x:c r="A22" s="11" t="str">
        <x:v>RESEARCH</x:v>
      </x:c>
      <x:c r="B22" s="11" t="n">
        <x:v>1</x:v>
      </x:c>
      <x:c r="C22" s="11" t="str">
        <x:v>Legal and Illicit Sand Mining Practice in Bangladesh: Exploring Supply ...</x:v>
      </x:c>
      <x:c r="D22" s="11" t="str">
        <x:v>https://jied.lse.ac.uk/articles/10.31389/jied.149</x:v>
      </x:c>
      <x:c r="E22" s="11" t="str">
        <x:v>Repeated URL</x:v>
      </x:c>
      <x:c r="F22" s="11" t="str">
        <x:v>BSW-010</x:v>
      </x:c>
      <x:c r="G22" s="11" t="str">
        <x:v>Same URL already returned by an earlier query</x:v>
      </x:c>
      <x:c r="H22" s="11" t="str">
        <x:v>Usable</x:v>
      </x:c>
      <x:c r="I22" s="2"/>
      <x:c r="J22" s="2"/>
      <x:c r="K22" s="2"/>
      <x:c r="L22" s="2"/>
      <x:c r="M22" s="2"/>
      <x:c r="N22" s="2"/>
      <x:c r="O22" s="2"/>
      <x:c r="P22" s="2"/>
      <x:c r="Q22" s="2"/>
      <x:c r="R22" s="2"/>
      <x:c r="S22" s="2"/>
      <x:c r="T22" s="2"/>
      <x:c r="U22" s="2"/>
      <x:c r="V22" s="2"/>
    </x:row>
    <x:row r="23" ht="80" customHeight="1">
      <x:c r="A23" s="11" t="str">
        <x:v>RESEARCH</x:v>
      </x:c>
      <x:c r="B23" s="11" t="n">
        <x:v>2</x:v>
      </x:c>
      <x:c r="C23" s="11" t="str">
        <x:v>Morpho‐ecological changes and socioeconomic impacts due to sand ...</x:v>
      </x:c>
      <x:c r="D23" s="11" t="str">
        <x:v>https://onlinelibrary.wiley.com/doi/10.1111/sjtg.70064</x:v>
      </x:c>
      <x:c r="E23" s="11" t="str">
        <x:v>Included</x:v>
      </x:c>
      <x:c r="F23" s="11" t="str">
        <x:v>BSW-012</x:v>
      </x:c>
      <x:c r="G23" s="11" t="str">
        <x:v>Source text reviewed</x:v>
      </x:c>
      <x:c r="H23" s="11" t="str">
        <x:v>Usable</x:v>
      </x:c>
      <x:c r="I23" s="2"/>
      <x:c r="J23" s="2"/>
      <x:c r="K23" s="2"/>
      <x:c r="L23" s="2"/>
      <x:c r="M23" s="2"/>
      <x:c r="N23" s="2"/>
      <x:c r="O23" s="2"/>
      <x:c r="P23" s="2"/>
      <x:c r="Q23" s="2"/>
      <x:c r="R23" s="2"/>
      <x:c r="S23" s="2"/>
      <x:c r="T23" s="2"/>
      <x:c r="U23" s="2"/>
      <x:c r="V23" s="2"/>
    </x:row>
    <x:row r="24" ht="80" customHeight="1">
      <x:c r="A24" s="11" t="str">
        <x:v>RESEARCH</x:v>
      </x:c>
      <x:c r="B24" s="11" t="n">
        <x:v>3</x:v>
      </x:c>
      <x:c r="C24" s="11" t="str">
        <x:v>The political economy of river sand mining in South Asia</x:v>
      </x:c>
      <x:c r="D24" s="11" t="str">
        <x:v>https://www.cmi.no/projects/2512-the-political-economy-of-river-sand-mining-in-south-asia-a-commodity-chain-approach</x:v>
      </x:c>
      <x:c r="E24" s="11" t="str">
        <x:v>Repeated URL</x:v>
      </x:c>
      <x:c r="F24" s="11" t="str">
        <x:v>BSW-013</x:v>
      </x:c>
      <x:c r="G24" s="11" t="str">
        <x:v>Same URL already returned by an earlier query</x:v>
      </x:c>
      <x:c r="H24" s="11" t="str">
        <x:v>Usable</x:v>
      </x:c>
      <x:c r="I24" s="2"/>
      <x:c r="J24" s="2"/>
      <x:c r="K24" s="2"/>
      <x:c r="L24" s="2"/>
      <x:c r="M24" s="2"/>
      <x:c r="N24" s="2"/>
      <x:c r="O24" s="2"/>
      <x:c r="P24" s="2"/>
      <x:c r="Q24" s="2"/>
      <x:c r="R24" s="2"/>
      <x:c r="S24" s="2"/>
      <x:c r="T24" s="2"/>
      <x:c r="U24" s="2"/>
      <x:c r="V24" s="2"/>
    </x:row>
    <x:row r="25" ht="80" customHeight="1">
      <x:c r="A25" s="11" t="str">
        <x:v>RESEARCH</x:v>
      </x:c>
      <x:c r="B25" s="11" t="n">
        <x:v>4</x:v>
      </x:c>
      <x:c r="C25" s="11" t="str">
        <x:v>EconStor: Legal and illicit sand mining practice in Bangladesh</x:v>
      </x:c>
      <x:c r="D25" s="11" t="str">
        <x:v>https://www.econstor.eu/handle/10419/320646</x:v>
      </x:c>
      <x:c r="E25" s="11" t="str">
        <x:v>Duplicate work</x:v>
      </x:c>
      <x:c r="F25" s="11" t="str">
        <x:v>BSW-010</x:v>
      </x:c>
      <x:c r="G25" s="11" t="str">
        <x:v>Same DOI as publisher record; preserved as alternate repository</x:v>
      </x:c>
      <x:c r="H25" s="11" t="str">
        <x:v>Usable</x:v>
      </x:c>
      <x:c r="I25" s="2"/>
      <x:c r="J25" s="2"/>
      <x:c r="K25" s="2"/>
      <x:c r="L25" s="2"/>
      <x:c r="M25" s="2"/>
      <x:c r="N25" s="2"/>
      <x:c r="O25" s="2"/>
      <x:c r="P25" s="2"/>
      <x:c r="Q25" s="2"/>
      <x:c r="R25" s="2"/>
      <x:c r="S25" s="2"/>
      <x:c r="T25" s="2"/>
      <x:c r="U25" s="2"/>
      <x:c r="V25" s="2"/>
    </x:row>
    <x:row r="26" ht="80" customHeight="1">
      <x:c r="A26" s="11" t="str">
        <x:v>TEESTA</x:v>
      </x:c>
      <x:c r="B26" s="11" t="n">
        <x:v>1</x:v>
      </x:c>
      <x:c r="C26" s="11" t="str">
        <x:v>Illegal sand extraction from Teesta continues | The Daily Star</x:v>
      </x:c>
      <x:c r="D26" s="11" t="str">
        <x:v>https://www.thedailystar.net/news/bangladesh/news/illegal-sand-extraction-teesta-continues-4217606</x:v>
      </x:c>
      <x:c r="E26" s="11" t="str">
        <x:v>Included</x:v>
      </x:c>
      <x:c r="F26" s="11" t="str">
        <x:v>BSW-002</x:v>
      </x:c>
      <x:c r="G26" s="11" t="str">
        <x:v>Source text reviewed</x:v>
      </x:c>
      <x:c r="H26" s="11" t="str">
        <x:v>Usable</x:v>
      </x:c>
      <x:c r="I26" s="2"/>
      <x:c r="J26" s="2"/>
      <x:c r="K26" s="2"/>
      <x:c r="L26" s="2"/>
      <x:c r="M26" s="2"/>
      <x:c r="N26" s="2"/>
      <x:c r="O26" s="2"/>
      <x:c r="P26" s="2"/>
      <x:c r="Q26" s="2"/>
      <x:c r="R26" s="2"/>
      <x:c r="S26" s="2"/>
      <x:c r="T26" s="2"/>
      <x:c r="U26" s="2"/>
      <x:c r="V26" s="2"/>
    </x:row>
    <x:row r="27" ht="80" customHeight="1">
      <x:c r="A27" s="11" t="str">
        <x:v>TEESTA</x:v>
      </x:c>
      <x:c r="B27" s="11" t="n">
        <x:v>2</x:v>
      </x:c>
      <x:c r="C27" s="11" t="str">
        <x:v>Teesta river dries up, threatening northern livelihoods</x:v>
      </x:c>
      <x:c r="D27" s="11" t="str">
        <x:v>https://theclimatewatch.com/teesta-river-dries-up-threatening-northern-livelihoods/</x:v>
      </x:c>
      <x:c r="E27" s="11" t="str">
        <x:v>Included</x:v>
      </x:c>
      <x:c r="F27" s="11" t="str">
        <x:v>BSW-009</x:v>
      </x:c>
      <x:c r="G27" s="11" t="str">
        <x:v>Source text reviewed</x:v>
      </x:c>
      <x:c r="H27" s="11" t="str">
        <x:v>Usable</x:v>
      </x:c>
      <x:c r="I27" s="2"/>
      <x:c r="J27" s="2"/>
      <x:c r="K27" s="2"/>
      <x:c r="L27" s="2"/>
      <x:c r="M27" s="2"/>
      <x:c r="N27" s="2"/>
      <x:c r="O27" s="2"/>
      <x:c r="P27" s="2"/>
      <x:c r="Q27" s="2"/>
      <x:c r="R27" s="2"/>
      <x:c r="S27" s="2"/>
      <x:c r="T27" s="2"/>
      <x:c r="U27" s="2"/>
      <x:c r="V27" s="2"/>
    </x:row>
    <x:row r="28" ht="80" customHeight="1">
      <x:c r="A28" s="11" t="str">
        <x:v>TEESTA</x:v>
      </x:c>
      <x:c r="B28" s="11" t="n">
        <x:v>3</x:v>
      </x:c>
      <x:c r="C28" s="11" t="str">
        <x:v>Flood fears loom as Buri Teesta dam cracks a year after renovation</x:v>
      </x:c>
      <x:c r="D28" s="11" t="str">
        <x:v>https://observerbd.com/news/582009</x:v>
      </x:c>
      <x:c r="E28" s="11" t="str">
        <x:v>Included</x:v>
      </x:c>
      <x:c r="F28" s="11" t="str">
        <x:v>BSW-006</x:v>
      </x:c>
      <x:c r="G28" s="11" t="str">
        <x:v>Source text reviewed</x:v>
      </x:c>
      <x:c r="H28" s="11" t="str">
        <x:v>Usable</x:v>
      </x:c>
      <x:c r="I28" s="2"/>
      <x:c r="J28" s="2"/>
      <x:c r="K28" s="2"/>
      <x:c r="L28" s="2"/>
      <x:c r="M28" s="2"/>
      <x:c r="N28" s="2"/>
      <x:c r="O28" s="2"/>
      <x:c r="P28" s="2"/>
      <x:c r="Q28" s="2"/>
      <x:c r="R28" s="2"/>
      <x:c r="S28" s="2"/>
      <x:c r="T28" s="2"/>
      <x:c r="U28" s="2"/>
      <x:c r="V28" s="2"/>
    </x:row>
    <x:row r="29" ht="80" customHeight="1">
      <x:c r="A29" s="11" t="str">
        <x:v>TEESTA</x:v>
      </x:c>
      <x:c r="B29" s="11" t="n">
        <x:v>4</x:v>
      </x:c>
      <x:c r="C29" s="11" t="str">
        <x:v>Mechanized sand extraction on the Someshwari River at ... - Instagram</x:v>
      </x:c>
      <x:c r="D29" s="11" t="str">
        <x:v>https://www.instagram.com/p/DbVw97djsIa/</x:v>
      </x:c>
      <x:c r="E29" s="11" t="str">
        <x:v>Deferred social/video</x:v>
      </x:c>
      <x:c r="F29" s="11" t="str"/>
      <x:c r="G29" s="11" t="str">
        <x:v>Pilot covers web text and documents; do not substitute social excerpts for source articles</x:v>
      </x:c>
      <x:c r="H29" s="11" t="str">
        <x:v>Not attempted</x:v>
      </x:c>
      <x:c r="I29" s="2"/>
      <x:c r="J29" s="2"/>
      <x:c r="K29" s="2"/>
      <x:c r="L29" s="2"/>
      <x:c r="M29" s="2"/>
      <x:c r="N29" s="2"/>
      <x:c r="O29" s="2"/>
      <x:c r="P29" s="2"/>
      <x:c r="Q29" s="2"/>
      <x:c r="R29" s="2"/>
      <x:c r="S29" s="2"/>
      <x:c r="T29" s="2"/>
      <x:c r="U29" s="2"/>
      <x:c r="V29" s="2"/>
    </x:row>
    <x:row r="30" ht="80" customHeight="1">
      <x:c r="A30" s="11" t="str">
        <x:v>EN_REFINED</x:v>
      </x:c>
      <x:c r="B30" s="11" t="n">
        <x:v>1</x:v>
      </x:c>
      <x:c r="C30" s="11" t="str">
        <x:v>Why can't we stop illegal sand mining? | The Daily Star</x:v>
      </x:c>
      <x:c r="D30" s="11" t="str">
        <x:v>https://www.thedailystar.net/opinion/editorial/news/why-cant-we-stop-illegal-sand-mining-4017971</x:v>
      </x:c>
      <x:c r="E30" s="11" t="str">
        <x:v>Included</x:v>
      </x:c>
      <x:c r="F30" s="11" t="str">
        <x:v>BSW-008</x:v>
      </x:c>
      <x:c r="G30" s="11" t="str">
        <x:v>Source text reviewed</x:v>
      </x:c>
      <x:c r="H30" s="11" t="str">
        <x:v>Usable</x:v>
      </x:c>
      <x:c r="I30" s="2"/>
      <x:c r="J30" s="2"/>
      <x:c r="K30" s="2"/>
      <x:c r="L30" s="2"/>
      <x:c r="M30" s="2"/>
      <x:c r="N30" s="2"/>
      <x:c r="O30" s="2"/>
      <x:c r="P30" s="2"/>
      <x:c r="Q30" s="2"/>
      <x:c r="R30" s="2"/>
      <x:c r="S30" s="2"/>
      <x:c r="T30" s="2"/>
      <x:c r="U30" s="2"/>
      <x:c r="V30" s="2"/>
    </x:row>
    <x:row r="31" ht="80" customHeight="1">
      <x:c r="A31" s="11" t="str">
        <x:v>EN_REFINED</x:v>
      </x:c>
      <x:c r="B31" s="11" t="n">
        <x:v>2</x:v>
      </x:c>
      <x:c r="C31" s="11" t="str">
        <x:v>HC orders halt to illegal sand extraction from Tentulia River</x:v>
      </x:c>
      <x:c r="D31" s="11" t="str">
        <x:v>https://www.dhakatribune.com/bangladesh/court/417605/high-court-orders-halt-to-illegal-sand-extraction</x:v>
      </x:c>
      <x:c r="E31" s="11" t="str">
        <x:v>Pending retrieval</x:v>
      </x:c>
      <x:c r="F31" s="11" t="str"/>
      <x:c r="G31" s="11" t="str">
        <x:v>Metadata describes a court report, but article body was missing</x:v>
      </x:c>
      <x:c r="H31" s="11" t="str">
        <x:v>Body missing</x:v>
      </x:c>
      <x:c r="I31" s="2"/>
      <x:c r="J31" s="2"/>
      <x:c r="K31" s="2"/>
      <x:c r="L31" s="2"/>
      <x:c r="M31" s="2"/>
      <x:c r="N31" s="2"/>
      <x:c r="O31" s="2"/>
      <x:c r="P31" s="2"/>
      <x:c r="Q31" s="2"/>
      <x:c r="R31" s="2"/>
      <x:c r="S31" s="2"/>
      <x:c r="T31" s="2"/>
      <x:c r="U31" s="2"/>
      <x:c r="V31" s="2"/>
    </x:row>
    <x:row r="32" ht="80" customHeight="1">
      <x:c r="A32" s="11" t="str">
        <x:v>EN_REFINED</x:v>
      </x:c>
      <x:c r="B32" s="11" t="n">
        <x:v>3</x:v>
      </x:c>
      <x:c r="C32" s="11" t="str">
        <x:v>Saving Shomeshwari: Ecology, economy, and the true cost of sand</x:v>
      </x:c>
      <x:c r="D32" s="11" t="str">
        <x:v>https://www.tbsnews.net/features/panorama/saving-shomeshwari-ecology-economy-and-true-cost-sand-1318481</x:v>
      </x:c>
      <x:c r="E32" s="11" t="str">
        <x:v>Included</x:v>
      </x:c>
      <x:c r="F32" s="11" t="str">
        <x:v>BSW-007</x:v>
      </x:c>
      <x:c r="G32" s="11" t="str">
        <x:v>Source text reviewed</x:v>
      </x:c>
      <x:c r="H32" s="11" t="str">
        <x:v>Usable</x:v>
      </x:c>
      <x:c r="I32" s="2"/>
      <x:c r="J32" s="2"/>
      <x:c r="K32" s="2"/>
      <x:c r="L32" s="2"/>
      <x:c r="M32" s="2"/>
      <x:c r="N32" s="2"/>
      <x:c r="O32" s="2"/>
      <x:c r="P32" s="2"/>
      <x:c r="Q32" s="2"/>
      <x:c r="R32" s="2"/>
      <x:c r="S32" s="2"/>
      <x:c r="T32" s="2"/>
      <x:c r="U32" s="2"/>
      <x:c r="V32" s="2"/>
    </x:row>
    <x:row r="33" ht="80" customHeight="1">
      <x:c r="A33" s="11" t="str">
        <x:v>EN_REFINED</x:v>
      </x:c>
      <x:c r="B33" s="11" t="n">
        <x:v>4</x:v>
      </x:c>
      <x:c r="C33" s="11" t="str">
        <x:v>Tags : illegal sand extraction - New Age | Most Popular Outspoken ...</x:v>
      </x:c>
      <x:c r="D33" s="11" t="str">
        <x:v>https://www.newagebd.net/tags/illegal%20sand%20extraction</x:v>
      </x:c>
      <x:c r="E33" s="11" t="str">
        <x:v>Discovery page</x:v>
      </x:c>
      <x:c r="F33" s="11" t="str"/>
      <x:c r="G33" s="11" t="str">
        <x:v>Topic index is useful for finding articles but is not an article record</x:v>
      </x:c>
      <x:c r="H33" s="11" t="str">
        <x:v>Not attempted</x:v>
      </x:c>
      <x:c r="I33" s="2"/>
      <x:c r="J33" s="2"/>
      <x:c r="K33" s="2"/>
      <x:c r="L33" s="2"/>
      <x:c r="M33" s="2"/>
      <x:c r="N33" s="2"/>
      <x:c r="O33" s="2"/>
      <x:c r="P33" s="2"/>
      <x:c r="Q33" s="2"/>
      <x:c r="R33" s="2"/>
      <x:c r="S33" s="2"/>
      <x:c r="T33" s="2"/>
      <x:c r="U33" s="2"/>
      <x:c r="V33" s="2"/>
    </x:row>
    <x:row r="34">
      <x:c r="A34" s="2"/>
      <x:c r="B34" s="2"/>
      <x:c r="C34" s="2"/>
      <x:c r="D34" s="2"/>
      <x:c r="E34" s="2"/>
      <x:c r="F34" s="2"/>
      <x:c r="G34" s="2"/>
      <x:c r="H34" s="2"/>
      <x:c r="I34" s="2"/>
      <x:c r="J34" s="2"/>
      <x:c r="K34" s="2"/>
      <x:c r="L34" s="2"/>
      <x:c r="M34" s="2"/>
      <x:c r="N34" s="2"/>
      <x:c r="O34" s="2"/>
      <x:c r="P34" s="2"/>
      <x:c r="Q34" s="2"/>
      <x:c r="R34" s="2"/>
      <x:c r="S34" s="2"/>
      <x:c r="T34" s="2"/>
      <x:c r="U34" s="2"/>
      <x:c r="V34" s="2"/>
    </x:row>
    <x:row r="35">
      <x:c r="A35" s="2"/>
      <x:c r="B35" s="2"/>
      <x:c r="C35" s="2"/>
      <x:c r="D35" s="2"/>
      <x:c r="E35" s="2"/>
      <x:c r="F35" s="2"/>
      <x:c r="G35" s="2"/>
      <x:c r="H35" s="2"/>
      <x:c r="I35" s="2"/>
      <x:c r="J35" s="2"/>
      <x:c r="K35" s="2"/>
      <x:c r="L35" s="2"/>
      <x:c r="M35" s="2"/>
      <x:c r="N35" s="2"/>
      <x:c r="O35" s="2"/>
      <x:c r="P35" s="2"/>
      <x:c r="Q35" s="2"/>
      <x:c r="R35" s="2"/>
      <x:c r="S35" s="2"/>
      <x:c r="T35" s="2"/>
      <x:c r="U35" s="2"/>
      <x:c r="V35" s="2"/>
    </x:row>
    <x:row r="36">
      <x:c r="A36" s="2"/>
      <x:c r="B36" s="2"/>
      <x:c r="C36" s="2"/>
      <x:c r="D36" s="2"/>
      <x:c r="E36" s="2"/>
      <x:c r="F36" s="2"/>
      <x:c r="G36" s="2"/>
      <x:c r="H36" s="2"/>
      <x:c r="I36" s="2"/>
      <x:c r="J36" s="2"/>
      <x:c r="K36" s="2"/>
      <x:c r="L36" s="2"/>
      <x:c r="M36" s="2"/>
      <x:c r="N36" s="2"/>
      <x:c r="O36" s="2"/>
      <x:c r="P36" s="2"/>
      <x:c r="Q36" s="2"/>
      <x:c r="R36" s="2"/>
      <x:c r="S36" s="2"/>
      <x:c r="T36" s="2"/>
      <x:c r="U36" s="2"/>
      <x:c r="V36" s="2"/>
    </x:row>
    <x:row r="37">
      <x:c r="A37" s="2"/>
      <x:c r="B37" s="2"/>
      <x:c r="C37" s="2"/>
      <x:c r="D37" s="2"/>
      <x:c r="E37" s="2"/>
      <x:c r="F37" s="2"/>
      <x:c r="G37" s="2"/>
      <x:c r="H37" s="2"/>
      <x:c r="I37" s="2"/>
      <x:c r="J37" s="2"/>
      <x:c r="K37" s="2"/>
      <x:c r="L37" s="2"/>
      <x:c r="M37" s="2"/>
      <x:c r="N37" s="2"/>
      <x:c r="O37" s="2"/>
      <x:c r="P37" s="2"/>
      <x:c r="Q37" s="2"/>
      <x:c r="R37" s="2"/>
      <x:c r="S37" s="2"/>
      <x:c r="T37" s="2"/>
      <x:c r="U37" s="2"/>
      <x:c r="V37" s="2"/>
    </x:row>
    <x:row r="38">
      <x:c r="A38" s="2"/>
      <x:c r="B38" s="2"/>
      <x:c r="C38" s="2"/>
      <x:c r="D38" s="2"/>
      <x:c r="E38" s="2"/>
      <x:c r="F38" s="2"/>
      <x:c r="G38" s="2"/>
      <x:c r="H38" s="2"/>
      <x:c r="I38" s="2"/>
      <x:c r="J38" s="2"/>
      <x:c r="K38" s="2"/>
      <x:c r="L38" s="2"/>
      <x:c r="M38" s="2"/>
      <x:c r="N38" s="2"/>
      <x:c r="O38" s="2"/>
      <x:c r="P38" s="2"/>
      <x:c r="Q38" s="2"/>
      <x:c r="R38" s="2"/>
      <x:c r="S38" s="2"/>
      <x:c r="T38" s="2"/>
      <x:c r="U38" s="2"/>
      <x:c r="V38" s="2"/>
    </x:row>
    <x:row r="39">
      <x:c r="A39" s="2"/>
      <x:c r="B39" s="2"/>
      <x:c r="C39" s="2"/>
      <x:c r="D39" s="2"/>
      <x:c r="E39" s="2"/>
      <x:c r="F39" s="2"/>
      <x:c r="G39" s="2"/>
      <x:c r="H39" s="2"/>
      <x:c r="I39" s="2"/>
      <x:c r="J39" s="2"/>
      <x:c r="K39" s="2"/>
      <x:c r="L39" s="2"/>
      <x:c r="M39" s="2"/>
      <x:c r="N39" s="2"/>
      <x:c r="O39" s="2"/>
      <x:c r="P39" s="2"/>
      <x:c r="Q39" s="2"/>
      <x:c r="R39" s="2"/>
      <x:c r="S39" s="2"/>
      <x:c r="T39" s="2"/>
      <x:c r="U39" s="2"/>
      <x:c r="V39" s="2"/>
    </x:row>
    <x:row r="40">
      <x:c r="A40" s="2"/>
      <x:c r="B40" s="2"/>
      <x:c r="C40" s="2"/>
      <x:c r="D40" s="2"/>
      <x:c r="E40" s="2"/>
      <x:c r="F40" s="2"/>
      <x:c r="G40" s="2"/>
      <x:c r="H40" s="2"/>
      <x:c r="I40" s="2"/>
      <x:c r="J40" s="2"/>
      <x:c r="K40" s="2"/>
      <x:c r="L40" s="2"/>
      <x:c r="M40" s="2"/>
      <x:c r="N40" s="2"/>
      <x:c r="O40" s="2"/>
      <x:c r="P40" s="2"/>
      <x:c r="Q40" s="2"/>
      <x:c r="R40" s="2"/>
      <x:c r="S40" s="2"/>
      <x:c r="T40" s="2"/>
      <x:c r="U40" s="2"/>
      <x:c r="V40" s="2"/>
    </x:row>
    <x:row r="41">
      <x:c r="A41" s="2"/>
      <x:c r="B41" s="2"/>
      <x:c r="C41" s="2"/>
      <x:c r="D41" s="2"/>
      <x:c r="E41" s="2"/>
      <x:c r="F41" s="2"/>
      <x:c r="G41" s="2"/>
      <x:c r="H41" s="2"/>
      <x:c r="I41" s="2"/>
      <x:c r="J41" s="2"/>
      <x:c r="K41" s="2"/>
      <x:c r="L41" s="2"/>
      <x:c r="M41" s="2"/>
      <x:c r="N41" s="2"/>
      <x:c r="O41" s="2"/>
      <x:c r="P41" s="2"/>
      <x:c r="Q41" s="2"/>
      <x:c r="R41" s="2"/>
      <x:c r="S41" s="2"/>
      <x:c r="T41" s="2"/>
      <x:c r="U41" s="2"/>
      <x:c r="V41" s="2"/>
    </x:row>
    <x:row r="42">
      <x:c r="A42" s="2"/>
      <x:c r="B42" s="2"/>
      <x:c r="C42" s="2"/>
      <x:c r="D42" s="2"/>
      <x:c r="E42" s="2"/>
      <x:c r="F42" s="2"/>
      <x:c r="G42" s="2"/>
      <x:c r="H42" s="2"/>
      <x:c r="I42" s="2"/>
      <x:c r="J42" s="2"/>
      <x:c r="K42" s="2"/>
      <x:c r="L42" s="2"/>
      <x:c r="M42" s="2"/>
      <x:c r="N42" s="2"/>
      <x:c r="O42" s="2"/>
      <x:c r="P42" s="2"/>
      <x:c r="Q42" s="2"/>
      <x:c r="R42" s="2"/>
      <x:c r="S42" s="2"/>
      <x:c r="T42" s="2"/>
      <x:c r="U42" s="2"/>
      <x:c r="V42" s="2"/>
    </x:row>
    <x:row r="43">
      <x:c r="A43" s="2"/>
      <x:c r="B43" s="2"/>
      <x:c r="C43" s="2"/>
      <x:c r="D43" s="2"/>
      <x:c r="E43" s="2"/>
      <x:c r="F43" s="2"/>
      <x:c r="G43" s="2"/>
      <x:c r="H43" s="2"/>
      <x:c r="I43" s="2"/>
      <x:c r="J43" s="2"/>
      <x:c r="K43" s="2"/>
      <x:c r="L43" s="2"/>
      <x:c r="M43" s="2"/>
      <x:c r="N43" s="2"/>
      <x:c r="O43" s="2"/>
      <x:c r="P43" s="2"/>
      <x:c r="Q43" s="2"/>
      <x:c r="R43" s="2"/>
      <x:c r="S43" s="2"/>
      <x:c r="T43" s="2"/>
      <x:c r="U43" s="2"/>
      <x:c r="V43" s="2"/>
    </x:row>
    <x:row r="44">
      <x:c r="A44" s="2"/>
      <x:c r="B44" s="2"/>
      <x:c r="C44" s="2"/>
      <x:c r="D44" s="2"/>
      <x:c r="E44" s="2"/>
      <x:c r="F44" s="2"/>
      <x:c r="G44" s="2"/>
      <x:c r="H44" s="2"/>
      <x:c r="I44" s="2"/>
      <x:c r="J44" s="2"/>
      <x:c r="K44" s="2"/>
      <x:c r="L44" s="2"/>
      <x:c r="M44" s="2"/>
      <x:c r="N44" s="2"/>
      <x:c r="O44" s="2"/>
      <x:c r="P44" s="2"/>
      <x:c r="Q44" s="2"/>
      <x:c r="R44" s="2"/>
      <x:c r="S44" s="2"/>
      <x:c r="T44" s="2"/>
      <x:c r="U44" s="2"/>
      <x:c r="V44" s="2"/>
    </x:row>
    <x:row r="45">
      <x:c r="A45" s="2"/>
      <x:c r="B45" s="2"/>
      <x:c r="C45" s="2"/>
      <x:c r="D45" s="2"/>
      <x:c r="E45" s="2"/>
      <x:c r="F45" s="2"/>
      <x:c r="G45" s="2"/>
      <x:c r="H45" s="2"/>
      <x:c r="I45" s="2"/>
      <x:c r="J45" s="2"/>
      <x:c r="K45" s="2"/>
      <x:c r="L45" s="2"/>
      <x:c r="M45" s="2"/>
      <x:c r="N45" s="2"/>
      <x:c r="O45" s="2"/>
      <x:c r="P45" s="2"/>
      <x:c r="Q45" s="2"/>
      <x:c r="R45" s="2"/>
      <x:c r="S45" s="2"/>
      <x:c r="T45" s="2"/>
      <x:c r="U45" s="2"/>
      <x:c r="V45" s="2"/>
    </x:row>
    <x:row r="46">
      <x:c r="A46" s="2"/>
      <x:c r="B46" s="2"/>
      <x:c r="C46" s="2"/>
      <x:c r="D46" s="2"/>
      <x:c r="E46" s="2"/>
      <x:c r="F46" s="2"/>
      <x:c r="G46" s="2"/>
      <x:c r="H46" s="2"/>
      <x:c r="I46" s="2"/>
      <x:c r="J46" s="2"/>
      <x:c r="K46" s="2"/>
      <x:c r="L46" s="2"/>
      <x:c r="M46" s="2"/>
      <x:c r="N46" s="2"/>
      <x:c r="O46" s="2"/>
      <x:c r="P46" s="2"/>
      <x:c r="Q46" s="2"/>
      <x:c r="R46" s="2"/>
      <x:c r="S46" s="2"/>
      <x:c r="T46" s="2"/>
      <x:c r="U46" s="2"/>
      <x:c r="V46" s="2"/>
    </x:row>
    <x:row r="47">
      <x:c r="A47" s="2"/>
      <x:c r="B47" s="2"/>
      <x:c r="C47" s="2"/>
      <x:c r="D47" s="2"/>
      <x:c r="E47" s="2"/>
      <x:c r="F47" s="2"/>
      <x:c r="G47" s="2"/>
      <x:c r="H47" s="2"/>
      <x:c r="I47" s="2"/>
      <x:c r="J47" s="2"/>
      <x:c r="K47" s="2"/>
      <x:c r="L47" s="2"/>
      <x:c r="M47" s="2"/>
      <x:c r="N47" s="2"/>
      <x:c r="O47" s="2"/>
      <x:c r="P47" s="2"/>
      <x:c r="Q47" s="2"/>
      <x:c r="R47" s="2"/>
      <x:c r="S47" s="2"/>
      <x:c r="T47" s="2"/>
      <x:c r="U47" s="2"/>
      <x:c r="V47" s="2"/>
    </x:row>
    <x:row r="48">
      <x:c r="A48" s="2"/>
      <x:c r="B48" s="2"/>
      <x:c r="C48" s="2"/>
      <x:c r="D48" s="2"/>
      <x:c r="E48" s="2"/>
      <x:c r="F48" s="2"/>
      <x:c r="G48" s="2"/>
      <x:c r="H48" s="2"/>
      <x:c r="I48" s="2"/>
      <x:c r="J48" s="2"/>
      <x:c r="K48" s="2"/>
      <x:c r="L48" s="2"/>
      <x:c r="M48" s="2"/>
      <x:c r="N48" s="2"/>
      <x:c r="O48" s="2"/>
      <x:c r="P48" s="2"/>
      <x:c r="Q48" s="2"/>
      <x:c r="R48" s="2"/>
      <x:c r="S48" s="2"/>
      <x:c r="T48" s="2"/>
      <x:c r="U48" s="2"/>
      <x:c r="V48" s="2"/>
    </x:row>
    <x:row r="49">
      <x:c r="A49" s="2"/>
      <x:c r="B49" s="2"/>
      <x:c r="C49" s="2"/>
      <x:c r="D49" s="2"/>
      <x:c r="E49" s="2"/>
      <x:c r="F49" s="2"/>
      <x:c r="G49" s="2"/>
      <x:c r="H49" s="2"/>
      <x:c r="I49" s="2"/>
      <x:c r="J49" s="2"/>
      <x:c r="K49" s="2"/>
      <x:c r="L49" s="2"/>
      <x:c r="M49" s="2"/>
      <x:c r="N49" s="2"/>
      <x:c r="O49" s="2"/>
      <x:c r="P49" s="2"/>
      <x:c r="Q49" s="2"/>
      <x:c r="R49" s="2"/>
      <x:c r="S49" s="2"/>
      <x:c r="T49" s="2"/>
      <x:c r="U49" s="2"/>
      <x:c r="V49" s="2"/>
    </x:row>
    <x:row r="50">
      <x:c r="A50" s="2"/>
      <x:c r="B50" s="2"/>
      <x:c r="C50" s="2"/>
      <x:c r="D50" s="2"/>
      <x:c r="E50" s="2"/>
      <x:c r="F50" s="2"/>
      <x:c r="G50" s="2"/>
      <x:c r="H50" s="2"/>
      <x:c r="I50" s="2"/>
      <x:c r="J50" s="2"/>
      <x:c r="K50" s="2"/>
      <x:c r="L50" s="2"/>
      <x:c r="M50" s="2"/>
      <x:c r="N50" s="2"/>
      <x:c r="O50" s="2"/>
      <x:c r="P50" s="2"/>
      <x:c r="Q50" s="2"/>
      <x:c r="R50" s="2"/>
      <x:c r="S50" s="2"/>
      <x:c r="T50" s="2"/>
      <x:c r="U50" s="2"/>
      <x:c r="V50" s="2"/>
    </x:row>
    <x:row r="51">
      <x:c r="A51" s="2"/>
      <x:c r="B51" s="2"/>
      <x:c r="C51" s="2"/>
      <x:c r="D51" s="2"/>
      <x:c r="E51" s="2"/>
      <x:c r="F51" s="2"/>
      <x:c r="G51" s="2"/>
      <x:c r="H51" s="2"/>
      <x:c r="I51" s="2"/>
      <x:c r="J51" s="2"/>
      <x:c r="K51" s="2"/>
      <x:c r="L51" s="2"/>
      <x:c r="M51" s="2"/>
      <x:c r="N51" s="2"/>
      <x:c r="O51" s="2"/>
      <x:c r="P51" s="2"/>
      <x:c r="Q51" s="2"/>
      <x:c r="R51" s="2"/>
      <x:c r="S51" s="2"/>
      <x:c r="T51" s="2"/>
      <x:c r="U51" s="2"/>
      <x:c r="V51" s="2"/>
    </x:row>
    <x:row r="52">
      <x:c r="A52" s="2"/>
      <x:c r="B52" s="2"/>
      <x:c r="C52" s="2"/>
      <x:c r="D52" s="2"/>
      <x:c r="E52" s="2"/>
      <x:c r="F52" s="2"/>
      <x:c r="G52" s="2"/>
      <x:c r="H52" s="2"/>
      <x:c r="I52" s="2"/>
      <x:c r="J52" s="2"/>
      <x:c r="K52" s="2"/>
      <x:c r="L52" s="2"/>
      <x:c r="M52" s="2"/>
      <x:c r="N52" s="2"/>
      <x:c r="O52" s="2"/>
      <x:c r="P52" s="2"/>
      <x:c r="Q52" s="2"/>
      <x:c r="R52" s="2"/>
      <x:c r="S52" s="2"/>
      <x:c r="T52" s="2"/>
      <x:c r="U52" s="2"/>
      <x:c r="V52" s="2"/>
    </x:row>
    <x:row r="53">
      <x:c r="A53" s="2"/>
      <x:c r="B53" s="2"/>
      <x:c r="C53" s="2"/>
      <x:c r="D53" s="2"/>
      <x:c r="E53" s="2"/>
      <x:c r="F53" s="2"/>
      <x:c r="G53" s="2"/>
      <x:c r="H53" s="2"/>
      <x:c r="I53" s="2"/>
      <x:c r="J53" s="2"/>
      <x:c r="K53" s="2"/>
      <x:c r="L53" s="2"/>
      <x:c r="M53" s="2"/>
      <x:c r="N53" s="2"/>
      <x:c r="O53" s="2"/>
      <x:c r="P53" s="2"/>
      <x:c r="Q53" s="2"/>
      <x:c r="R53" s="2"/>
      <x:c r="S53" s="2"/>
      <x:c r="T53" s="2"/>
      <x:c r="U53" s="2"/>
      <x:c r="V53" s="2"/>
    </x:row>
    <x:row r="54">
      <x:c r="A54" s="2"/>
      <x:c r="B54" s="2"/>
      <x:c r="C54" s="2"/>
      <x:c r="D54" s="2"/>
      <x:c r="E54" s="2"/>
      <x:c r="F54" s="2"/>
      <x:c r="G54" s="2"/>
      <x:c r="H54" s="2"/>
      <x:c r="I54" s="2"/>
      <x:c r="J54" s="2"/>
      <x:c r="K54" s="2"/>
      <x:c r="L54" s="2"/>
      <x:c r="M54" s="2"/>
      <x:c r="N54" s="2"/>
      <x:c r="O54" s="2"/>
      <x:c r="P54" s="2"/>
      <x:c r="Q54" s="2"/>
      <x:c r="R54" s="2"/>
      <x:c r="S54" s="2"/>
      <x:c r="T54" s="2"/>
      <x:c r="U54" s="2"/>
      <x:c r="V54" s="2"/>
    </x:row>
    <x:row r="55">
      <x:c r="A55" s="2"/>
      <x:c r="B55" s="2"/>
      <x:c r="C55" s="2"/>
      <x:c r="D55" s="2"/>
      <x:c r="E55" s="2"/>
      <x:c r="F55" s="2"/>
      <x:c r="G55" s="2"/>
      <x:c r="H55" s="2"/>
      <x:c r="I55" s="2"/>
      <x:c r="J55" s="2"/>
      <x:c r="K55" s="2"/>
      <x:c r="L55" s="2"/>
      <x:c r="M55" s="2"/>
      <x:c r="N55" s="2"/>
      <x:c r="O55" s="2"/>
      <x:c r="P55" s="2"/>
      <x:c r="Q55" s="2"/>
      <x:c r="R55" s="2"/>
      <x:c r="S55" s="2"/>
      <x:c r="T55" s="2"/>
      <x:c r="U55" s="2"/>
      <x:c r="V55" s="2"/>
    </x:row>
    <x:row r="56">
      <x:c r="A56" s="2"/>
      <x:c r="B56" s="2"/>
      <x:c r="C56" s="2"/>
      <x:c r="D56" s="2"/>
      <x:c r="E56" s="2"/>
      <x:c r="F56" s="2"/>
      <x:c r="G56" s="2"/>
      <x:c r="H56" s="2"/>
      <x:c r="I56" s="2"/>
      <x:c r="J56" s="2"/>
      <x:c r="K56" s="2"/>
      <x:c r="L56" s="2"/>
      <x:c r="M56" s="2"/>
      <x:c r="N56" s="2"/>
      <x:c r="O56" s="2"/>
      <x:c r="P56" s="2"/>
      <x:c r="Q56" s="2"/>
      <x:c r="R56" s="2"/>
      <x:c r="S56" s="2"/>
      <x:c r="T56" s="2"/>
      <x:c r="U56" s="2"/>
      <x:c r="V56" s="2"/>
    </x:row>
    <x:row r="57">
      <x:c r="A57" s="2"/>
      <x:c r="B57" s="2"/>
      <x:c r="C57" s="2"/>
      <x:c r="D57" s="2"/>
      <x:c r="E57" s="2"/>
      <x:c r="F57" s="2"/>
      <x:c r="G57" s="2"/>
      <x:c r="H57" s="2"/>
      <x:c r="I57" s="2"/>
      <x:c r="J57" s="2"/>
      <x:c r="K57" s="2"/>
      <x:c r="L57" s="2"/>
      <x:c r="M57" s="2"/>
      <x:c r="N57" s="2"/>
      <x:c r="O57" s="2"/>
      <x:c r="P57" s="2"/>
      <x:c r="Q57" s="2"/>
      <x:c r="R57" s="2"/>
      <x:c r="S57" s="2"/>
      <x:c r="T57" s="2"/>
      <x:c r="U57" s="2"/>
      <x:c r="V57" s="2"/>
    </x:row>
    <x:row r="58">
      <x:c r="A58" s="2"/>
      <x:c r="B58" s="2"/>
      <x:c r="C58" s="2"/>
      <x:c r="D58" s="2"/>
      <x:c r="E58" s="2"/>
      <x:c r="F58" s="2"/>
      <x:c r="G58" s="2"/>
      <x:c r="H58" s="2"/>
      <x:c r="I58" s="2"/>
      <x:c r="J58" s="2"/>
      <x:c r="K58" s="2"/>
      <x:c r="L58" s="2"/>
      <x:c r="M58" s="2"/>
      <x:c r="N58" s="2"/>
      <x:c r="O58" s="2"/>
      <x:c r="P58" s="2"/>
      <x:c r="Q58" s="2"/>
      <x:c r="R58" s="2"/>
      <x:c r="S58" s="2"/>
      <x:c r="T58" s="2"/>
      <x:c r="U58" s="2"/>
      <x:c r="V58" s="2"/>
    </x:row>
    <x:row r="59">
      <x:c r="A59" s="2"/>
      <x:c r="B59" s="2"/>
      <x:c r="C59" s="2"/>
      <x:c r="D59" s="2"/>
      <x:c r="E59" s="2"/>
      <x:c r="F59" s="2"/>
      <x:c r="G59" s="2"/>
      <x:c r="H59" s="2"/>
      <x:c r="I59" s="2"/>
      <x:c r="J59" s="2"/>
      <x:c r="K59" s="2"/>
      <x:c r="L59" s="2"/>
      <x:c r="M59" s="2"/>
      <x:c r="N59" s="2"/>
      <x:c r="O59" s="2"/>
      <x:c r="P59" s="2"/>
      <x:c r="Q59" s="2"/>
      <x:c r="R59" s="2"/>
      <x:c r="S59" s="2"/>
      <x:c r="T59" s="2"/>
      <x:c r="U59" s="2"/>
      <x:c r="V59" s="2"/>
    </x:row>
    <x:row r="60">
      <x:c r="A60" s="2"/>
      <x:c r="B60" s="2"/>
      <x:c r="C60" s="2"/>
      <x:c r="D60" s="2"/>
      <x:c r="E60" s="2"/>
      <x:c r="F60" s="2"/>
      <x:c r="G60" s="2"/>
      <x:c r="H60" s="2"/>
      <x:c r="I60" s="2"/>
      <x:c r="J60" s="2"/>
      <x:c r="K60" s="2"/>
      <x:c r="L60" s="2"/>
      <x:c r="M60" s="2"/>
      <x:c r="N60" s="2"/>
      <x:c r="O60" s="2"/>
      <x:c r="P60" s="2"/>
      <x:c r="Q60" s="2"/>
      <x:c r="R60" s="2"/>
      <x:c r="S60" s="2"/>
      <x:c r="T60" s="2"/>
      <x:c r="U60" s="2"/>
      <x:c r="V60" s="2"/>
    </x:row>
    <x:row r="61">
      <x:c r="A61" s="2"/>
      <x:c r="B61" s="2"/>
      <x:c r="C61" s="2"/>
      <x:c r="D61" s="2"/>
      <x:c r="E61" s="2"/>
      <x:c r="F61" s="2"/>
      <x:c r="G61" s="2"/>
      <x:c r="H61" s="2"/>
      <x:c r="I61" s="2"/>
      <x:c r="J61" s="2"/>
      <x:c r="K61" s="2"/>
      <x:c r="L61" s="2"/>
      <x:c r="M61" s="2"/>
      <x:c r="N61" s="2"/>
      <x:c r="O61" s="2"/>
      <x:c r="P61" s="2"/>
      <x:c r="Q61" s="2"/>
      <x:c r="R61" s="2"/>
      <x:c r="S61" s="2"/>
      <x:c r="T61" s="2"/>
      <x:c r="U61" s="2"/>
      <x:c r="V61" s="2"/>
    </x:row>
    <x:row r="62">
      <x:c r="A62" s="2"/>
      <x:c r="B62" s="2"/>
      <x:c r="C62" s="2"/>
      <x:c r="D62" s="2"/>
      <x:c r="E62" s="2"/>
      <x:c r="F62" s="2"/>
      <x:c r="G62" s="2"/>
      <x:c r="H62" s="2"/>
      <x:c r="I62" s="2"/>
      <x:c r="J62" s="2"/>
      <x:c r="K62" s="2"/>
      <x:c r="L62" s="2"/>
      <x:c r="M62" s="2"/>
      <x:c r="N62" s="2"/>
      <x:c r="O62" s="2"/>
      <x:c r="P62" s="2"/>
      <x:c r="Q62" s="2"/>
      <x:c r="R62" s="2"/>
      <x:c r="S62" s="2"/>
      <x:c r="T62" s="2"/>
      <x:c r="U62" s="2"/>
      <x:c r="V62" s="2"/>
    </x:row>
    <x:row r="63">
      <x:c r="A63" s="2"/>
      <x:c r="B63" s="2"/>
      <x:c r="C63" s="2"/>
      <x:c r="D63" s="2"/>
      <x:c r="E63" s="2"/>
      <x:c r="F63" s="2"/>
      <x:c r="G63" s="2"/>
      <x:c r="H63" s="2"/>
      <x:c r="I63" s="2"/>
      <x:c r="J63" s="2"/>
      <x:c r="K63" s="2"/>
      <x:c r="L63" s="2"/>
      <x:c r="M63" s="2"/>
      <x:c r="N63" s="2"/>
      <x:c r="O63" s="2"/>
      <x:c r="P63" s="2"/>
      <x:c r="Q63" s="2"/>
      <x:c r="R63" s="2"/>
      <x:c r="S63" s="2"/>
      <x:c r="T63" s="2"/>
      <x:c r="U63" s="2"/>
      <x:c r="V63" s="2"/>
    </x:row>
    <x:row r="64">
      <x:c r="A64" s="2"/>
      <x:c r="B64" s="2"/>
      <x:c r="C64" s="2"/>
      <x:c r="D64" s="2"/>
      <x:c r="E64" s="2"/>
      <x:c r="F64" s="2"/>
      <x:c r="G64" s="2"/>
      <x:c r="H64" s="2"/>
      <x:c r="I64" s="2"/>
      <x:c r="J64" s="2"/>
      <x:c r="K64" s="2"/>
      <x:c r="L64" s="2"/>
      <x:c r="M64" s="2"/>
      <x:c r="N64" s="2"/>
      <x:c r="O64" s="2"/>
      <x:c r="P64" s="2"/>
      <x:c r="Q64" s="2"/>
      <x:c r="R64" s="2"/>
      <x:c r="S64" s="2"/>
      <x:c r="T64" s="2"/>
      <x:c r="U64" s="2"/>
      <x:c r="V64" s="2"/>
    </x:row>
    <x:row r="65">
      <x:c r="A65" s="2"/>
      <x:c r="B65" s="2"/>
      <x:c r="C65" s="2"/>
      <x:c r="D65" s="2"/>
      <x:c r="E65" s="2"/>
      <x:c r="F65" s="2"/>
      <x:c r="G65" s="2"/>
      <x:c r="H65" s="2"/>
      <x:c r="I65" s="2"/>
      <x:c r="J65" s="2"/>
      <x:c r="K65" s="2"/>
      <x:c r="L65" s="2"/>
      <x:c r="M65" s="2"/>
      <x:c r="N65" s="2"/>
      <x:c r="O65" s="2"/>
      <x:c r="P65" s="2"/>
      <x:c r="Q65" s="2"/>
      <x:c r="R65" s="2"/>
      <x:c r="S65" s="2"/>
      <x:c r="T65" s="2"/>
      <x:c r="U65" s="2"/>
      <x:c r="V65" s="2"/>
    </x:row>
  </x:sheetData>
  <x:conditionalFormatting sqref="E2:E33">
    <x:cfRule type="containsText" dxfId="2" priority="1" operator="containsText" text="Pending retrieval"/>
  </x:conditionalFormatting>
  <x:pageMargins left="0.7" right="0.7" top="0.75" bottom="0.75" header="0.3" footer="0.3"/>
  <x:tableParts count="1">
    <x:tablePart xmlns:r="http://schemas.openxmlformats.org/officeDocument/2006/relationships" r:id="R02fa437ed17c49cf"/>
  </x:tableParts>
</x:worksheet>
</file>